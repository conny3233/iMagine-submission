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1f586084a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일정" sheetId="1" r:id="R3264daa066e8453a"/>
    <x:sheet xmlns:r="http://schemas.openxmlformats.org/officeDocument/2006/relationships" name="작업표" sheetId="2" r:id="Rf1f7d46cce554f6f"/>
    <x:sheet xmlns:r="http://schemas.openxmlformats.org/officeDocument/2006/relationships" name="데이터준비" sheetId="3" r:id="R13c20b879581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"/>
    <x:numFmt numFmtId="201" formatCode="0.0"/>
    <x:numFmt numFmtId="202" formatCode="0%"/>
  </x:numFmts>
  <x:fonts count="5">
    <x:font>
      <x:sz val="11"/>
      <x:name val="Carlito"/>
    </x:font>
    <x:font>
      <x:sz val="11"/>
      <x:color rgb="FF243247"/>
      <x:name val="Malgun Gothic"/>
    </x:font>
    <x:font>
      <x:b/>
      <x:sz val="16"/>
      <x:color rgb="FF243B64"/>
      <x:name val="Malgun Gothic"/>
    </x:font>
    <x:font>
      <x:b/>
      <x:sz val="11"/>
      <x:color rgb="FFFFFFFF"/>
      <x:name val="Malgun Gothic"/>
    </x:font>
    <x:font>
      <x:b/>
      <x:sz val="11"/>
      <x:color rgb="FF243247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4"/>
      </x:patternFill>
    </x:fill>
    <x:fill>
      <x:patternFill patternType="solid">
        <x:fgColor rgb="FFFFF1CE"/>
      </x:patternFill>
    </x:fill>
    <x:fill>
      <x:patternFill patternType="solid">
        <x:fgColor rgb="FFEDF2F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31C2F"/>
      </x:font>
      <x:fill>
        <x:patternFill patternType="solid">
          <x:bgColor rgb="FFFCE3E3"/>
        </x:patternFill>
      </x:fill>
    </x:dxf>
    <x:dxf>
      <x:font>
        <x:color rgb="FF27615A"/>
      </x:font>
      <x:fill>
        <x:patternFill patternType="solid">
          <x:bgColor rgb="FFE4EF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5691b724a458d" /><Relationship Type="http://schemas.openxmlformats.org/officeDocument/2006/relationships/theme" Target="/xl/theme/theme1.xml" Id="Re360d92c84034604" /><Relationship Type="http://schemas.openxmlformats.org/officeDocument/2006/relationships/sharedStrings" Target="/xl/sharedStrings.xml" Id="R0f3a02ff47f94372" /><Relationship Type="http://schemas.openxmlformats.org/officeDocument/2006/relationships/worksheet" Target="/xl/worksheets/sheet1.xml" Id="R3264daa066e8453a" /><Relationship Type="http://schemas.openxmlformats.org/officeDocument/2006/relationships/worksheet" Target="/xl/worksheets/sheet2.xml" Id="Rf1f7d46cce554f6f" /><Relationship Type="http://schemas.openxmlformats.org/officeDocument/2006/relationships/worksheet" Target="/xl/worksheets/sheet3.xml" Id="R13c20b8795814e7d" /></Relationships>
</file>

<file path=xl/tables/table1.xml><?xml version="1.0" encoding="utf-8"?>
<x:table xmlns:x="http://schemas.openxmlformats.org/spreadsheetml/2006/main" id="1" name="TaskPlan" displayName="TaskPlan" ref="A6:L59" headerRowCount="1" totalsRowCount="0" totalsRowShown="0">
  <x:tableColumns count="12">
    <x:tableColumn id="1" name="ID"/>
    <x:tableColumn id="2" name="날짜"/>
    <x:tableColumn id="3" name="담당"/>
    <x:tableColumn id="4" name="구분"/>
    <x:tableColumn id="5" name="과정"/>
    <x:tableColumn id="6" name="작업"/>
    <x:tableColumn id="7" name="시간(h)"/>
    <x:tableColumn id="8" name="선행 작업"/>
    <x:tableColumn id="9" name="산출물"/>
    <x:tableColumn id="10" name="완료 기준"/>
    <x:tableColumn id="11" name="상태"/>
    <x:tableColumn id="12" name="실제(h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fe000cc62a42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9/11–9/18 팀 개발 일정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9/17 제작 완료, 9/18 제출. 기존 시작본 재사용 기준. B·C·D의 하루 3시간은 확인 전 계획 가정입니다.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2" t="str">
        <x:v>날짜</x:v>
      </x:c>
      <x:c r="B6" s="12" t="str">
        <x:v>그날의 완료 목표</x:v>
      </x:c>
      <x:c r="C6" s="12" t="str">
        <x:v>A 작업(h)</x:v>
      </x:c>
      <x:c r="D6" s="12" t="str">
        <x:v>A 예비(h)</x:v>
      </x:c>
      <x:c r="E6" s="12" t="str">
        <x:v>B(h)</x:v>
      </x:c>
      <x:c r="F6" s="12" t="str">
        <x:v>C(h)</x:v>
      </x:c>
      <x:c r="G6" s="12" t="str">
        <x:v>D(h)</x:v>
      </x:c>
      <x:c r="H6" s="12" t="str">
        <x:v>팀 합계(h)</x:v>
      </x:c>
    </x:row>
    <x:row r="7" ht="45" customHeight="1">
      <x:c r="A7" s="17" t="n">
        <x:v>46276</x:v>
      </x:c>
      <x:c r="B7" s="6" t="str">
        <x:v>기존 코드 실행·원문 선정·테스트넷 준비 착수</x:v>
      </x:c>
      <x:c r="C7" s="5" t="n">
        <x:f>SUMIFS('작업표'!$G$7:$G$59,'작업표'!$B$7:$B$59,A7,'작업표'!$C$7:$C$59,"A",'작업표'!$D$7:$D$59,"&lt;&gt;예비")</x:f>
        <x:v>4</x:v>
      </x:c>
      <x:c r="D7" s="5" t="n">
        <x:f>SUMIFS('작업표'!$G$7:$G$59,'작업표'!$B$7:$B$59,A7,'작업표'!$C$7:$C$59,"A",'작업표'!$D$7:$D$59,"예비")</x:f>
        <x:v>0</x:v>
      </x:c>
      <x:c r="E7" s="5" t="n">
        <x:f>SUMIFS('작업표'!$G$7:$G$59,'작업표'!$B$7:$B$59,A7,'작업표'!$C$7:$C$59,"B")</x:f>
        <x:v>3</x:v>
      </x:c>
      <x:c r="F7" s="5" t="n">
        <x:f>SUMIFS('작업표'!$G$7:$G$59,'작업표'!$B$7:$B$59,A7,'작업표'!$C$7:$C$59,"C")</x:f>
        <x:v>3</x:v>
      </x:c>
      <x:c r="G7" s="5" t="n">
        <x:f>SUMIFS('작업표'!$G$7:$G$59,'작업표'!$B$7:$B$59,A7,'작업표'!$C$7:$C$59,"D")</x:f>
        <x:v>3</x:v>
      </x:c>
      <x:c r="H7" s="5" t="n">
        <x:f>SUM(C7:G7)</x:f>
        <x:v>13</x:v>
      </x:c>
    </x:row>
    <x:row r="8" ht="45" customHeight="1">
      <x:c r="A8" s="17" t="n">
        <x:v>46277</x:v>
      </x:c>
      <x:c r="B8" s="6" t="str">
        <x:v>원문/콘텐츠 1차 고정·실제 AI 초안 2개</x:v>
      </x:c>
      <x:c r="C8" s="5" t="n">
        <x:f>SUMIFS('작업표'!$G$7:$G$59,'작업표'!$B$7:$B$59,A8,'작업표'!$C$7:$C$59,"A",'작업표'!$D$7:$D$59,"&lt;&gt;예비")</x:f>
        <x:v>5</x:v>
      </x:c>
      <x:c r="D8" s="5" t="n">
        <x:f>SUMIFS('작업표'!$G$7:$G$59,'작업표'!$B$7:$B$59,A8,'작업표'!$C$7:$C$59,"A",'작업표'!$D$7:$D$59,"예비")</x:f>
        <x:v>0</x:v>
      </x:c>
      <x:c r="E8" s="5" t="n">
        <x:f>SUMIFS('작업표'!$G$7:$G$59,'작업표'!$B$7:$B$59,A8,'작업표'!$C$7:$C$59,"B")</x:f>
        <x:v>3</x:v>
      </x:c>
      <x:c r="F8" s="5" t="n">
        <x:f>SUMIFS('작업표'!$G$7:$G$59,'작업표'!$B$7:$B$59,A8,'작업표'!$C$7:$C$59,"C")</x:f>
        <x:v>3</x:v>
      </x:c>
      <x:c r="G8" s="5" t="n">
        <x:f>SUMIFS('작업표'!$G$7:$G$59,'작업표'!$B$7:$B$59,A8,'작업표'!$C$7:$C$59,"D")</x:f>
        <x:v>2.5</x:v>
      </x:c>
      <x:c r="H8" s="5" t="n">
        <x:f>SUM(C8:G8)</x:f>
        <x:v>13.5</x:v>
      </x:c>
    </x:row>
    <x:row r="9" ht="45" customHeight="1">
      <x:c r="A9" s="17" t="n">
        <x:v>46278</x:v>
      </x:c>
      <x:c r="B9" s="6" t="str">
        <x:v>검토 콘텐츠 확정·첫 실제 체인 기록 확인</x:v>
      </x:c>
      <x:c r="C9" s="5" t="n">
        <x:f>SUMIFS('작업표'!$G$7:$G$59,'작업표'!$B$7:$B$59,A9,'작업표'!$C$7:$C$59,"A",'작업표'!$D$7:$D$59,"&lt;&gt;예비")</x:f>
        <x:v>5</x:v>
      </x:c>
      <x:c r="D9" s="5" t="n">
        <x:f>SUMIFS('작업표'!$G$7:$G$59,'작업표'!$B$7:$B$59,A9,'작업표'!$C$7:$C$59,"A",'작업표'!$D$7:$D$59,"예비")</x:f>
        <x:v>0</x:v>
      </x:c>
      <x:c r="E9" s="5" t="n">
        <x:f>SUMIFS('작업표'!$G$7:$G$59,'작업표'!$B$7:$B$59,A9,'작업표'!$C$7:$C$59,"B")</x:f>
        <x:v>2</x:v>
      </x:c>
      <x:c r="F9" s="5" t="n">
        <x:f>SUMIFS('작업표'!$G$7:$G$59,'작업표'!$B$7:$B$59,A9,'작업표'!$C$7:$C$59,"C")</x:f>
        <x:v>3</x:v>
      </x:c>
      <x:c r="G9" s="5" t="n">
        <x:f>SUMIFS('작업표'!$G$7:$G$59,'작업표'!$B$7:$B$59,A9,'작업표'!$C$7:$C$59,"D")</x:f>
        <x:v>2.5</x:v>
      </x:c>
      <x:c r="H9" s="5" t="n">
        <x:f>SUM(C9:G9)</x:f>
        <x:v>12.5</x:v>
      </x:c>
    </x:row>
    <x:row r="10" ht="45" customHeight="1">
      <x:c r="A10" s="17" t="n">
        <x:v>46279</x:v>
      </x:c>
      <x:c r="B10" s="6" t="str">
        <x:v>두 체험의 설명·질문·재설명 흐름 완주</x:v>
      </x:c>
      <x:c r="C10" s="5" t="n">
        <x:f>SUMIFS('작업표'!$G$7:$G$59,'작업표'!$B$7:$B$59,A10,'작업표'!$C$7:$C$59,"A",'작업표'!$D$7:$D$59,"&lt;&gt;예비")</x:f>
        <x:v>5</x:v>
      </x:c>
      <x:c r="D10" s="5" t="n">
        <x:f>SUMIFS('작업표'!$G$7:$G$59,'작업표'!$B$7:$B$59,A10,'작업표'!$C$7:$C$59,"A",'작업표'!$D$7:$D$59,"예비")</x:f>
        <x:v>0</x:v>
      </x:c>
      <x:c r="E10" s="5" t="n">
        <x:f>SUMIFS('작업표'!$G$7:$G$59,'작업표'!$B$7:$B$59,A10,'작업표'!$C$7:$C$59,"B")</x:f>
        <x:v>2</x:v>
      </x:c>
      <x:c r="F10" s="5" t="n">
        <x:f>SUMIFS('작업표'!$G$7:$G$59,'작업표'!$B$7:$B$59,A10,'작업표'!$C$7:$C$59,"C")</x:f>
        <x:v>2.5</x:v>
      </x:c>
      <x:c r="G10" s="5" t="n">
        <x:f>SUMIFS('작업표'!$G$7:$G$59,'작업표'!$B$7:$B$59,A10,'작업표'!$C$7:$C$59,"D")</x:f>
        <x:v>2.5</x:v>
      </x:c>
      <x:c r="H10" s="5" t="n">
        <x:f>SUM(C10:G10)</x:f>
        <x:v>12</x:v>
      </x:c>
    </x:row>
    <x:row r="11" ht="45" customHeight="1">
      <x:c r="A11" s="17" t="n">
        <x:v>46280</x:v>
      </x:c>
      <x:c r="B11" s="6" t="str">
        <x:v>계산·영수증·최종 체인 2건, 기능 추가 종료</x:v>
      </x:c>
      <x:c r="C11" s="5" t="n">
        <x:f>SUMIFS('작업표'!$G$7:$G$59,'작업표'!$B$7:$B$59,A11,'작업표'!$C$7:$C$59,"A",'작업표'!$D$7:$D$59,"&lt;&gt;예비")</x:f>
        <x:v>5</x:v>
      </x:c>
      <x:c r="D11" s="5" t="n">
        <x:f>SUMIFS('작업표'!$G$7:$G$59,'작업표'!$B$7:$B$59,A11,'작업표'!$C$7:$C$59,"A",'작업표'!$D$7:$D$59,"예비")</x:f>
        <x:v>0</x:v>
      </x:c>
      <x:c r="E11" s="5" t="n">
        <x:f>SUMIFS('작업표'!$G$7:$G$59,'작업표'!$B$7:$B$59,A11,'작업표'!$C$7:$C$59,"B")</x:f>
        <x:v>1.5</x:v>
      </x:c>
      <x:c r="F11" s="5" t="n">
        <x:f>SUMIFS('작업표'!$G$7:$G$59,'작업표'!$B$7:$B$59,A11,'작업표'!$C$7:$C$59,"C")</x:f>
        <x:v>2.5</x:v>
      </x:c>
      <x:c r="G11" s="5" t="n">
        <x:f>SUMIFS('작업표'!$G$7:$G$59,'작업표'!$B$7:$B$59,A11,'작업표'!$C$7:$C$59,"D")</x:f>
        <x:v>3</x:v>
      </x:c>
      <x:c r="H11" s="5" t="n">
        <x:f>SUM(C11:G11)</x:f>
        <x:v>12</x:v>
      </x:c>
    </x:row>
    <x:row r="12" ht="45" customHeight="1">
      <x:c r="A12" s="17" t="n">
        <x:v>46281</x:v>
      </x:c>
      <x:c r="B12" s="6" t="str">
        <x:v>사용자 시험·결함 수정·영상 초벌 편집</x:v>
      </x:c>
      <x:c r="C12" s="5" t="n">
        <x:f>SUMIFS('작업표'!$G$7:$G$59,'작업표'!$B$7:$B$59,A12,'작업표'!$C$7:$C$59,"A",'작업표'!$D$7:$D$59,"&lt;&gt;예비")</x:f>
        <x:v>4</x:v>
      </x:c>
      <x:c r="D12" s="5" t="n">
        <x:f>SUMIFS('작업표'!$G$7:$G$59,'작업표'!$B$7:$B$59,A12,'작업표'!$C$7:$C$59,"A",'작업표'!$D$7:$D$59,"예비")</x:f>
        <x:v>2</x:v>
      </x:c>
      <x:c r="E12" s="5" t="n">
        <x:f>SUMIFS('작업표'!$G$7:$G$59,'작업표'!$B$7:$B$59,A12,'작업표'!$C$7:$C$59,"B")</x:f>
        <x:v>1.5</x:v>
      </x:c>
      <x:c r="F12" s="5" t="n">
        <x:f>SUMIFS('작업표'!$G$7:$G$59,'작업표'!$B$7:$B$59,A12,'작업표'!$C$7:$C$59,"C")</x:f>
        <x:v>2.5</x:v>
      </x:c>
      <x:c r="G12" s="5" t="n">
        <x:f>SUMIFS('작업표'!$G$7:$G$59,'작업표'!$B$7:$B$59,A12,'작업표'!$C$7:$C$59,"D")</x:f>
        <x:v>3</x:v>
      </x:c>
      <x:c r="H12" s="5" t="n">
        <x:f>SUM(C12:G12)</x:f>
        <x:v>13</x:v>
      </x:c>
    </x:row>
    <x:row r="13" ht="45" customHeight="1">
      <x:c r="A13" s="17" t="n">
        <x:v>46282</x:v>
      </x:c>
      <x:c r="B13" s="6" t="str">
        <x:v>기획서·영상 완성·백업·다른 기기 재생</x:v>
      </x:c>
      <x:c r="C13" s="5" t="n">
        <x:f>SUMIFS('작업표'!$G$7:$G$59,'작업표'!$B$7:$B$59,A13,'작업표'!$C$7:$C$59,"A",'작업표'!$D$7:$D$59,"&lt;&gt;예비")</x:f>
        <x:v>4</x:v>
      </x:c>
      <x:c r="D13" s="5" t="n">
        <x:f>SUMIFS('작업표'!$G$7:$G$59,'작업표'!$B$7:$B$59,A13,'작업표'!$C$7:$C$59,"A",'작업표'!$D$7:$D$59,"예비")</x:f>
        <x:v>2</x:v>
      </x:c>
      <x:c r="E13" s="5" t="n">
        <x:f>SUMIFS('작업표'!$G$7:$G$59,'작업표'!$B$7:$B$59,A13,'작업표'!$C$7:$C$59,"B")</x:f>
        <x:v>1</x:v>
      </x:c>
      <x:c r="F13" s="5" t="n">
        <x:f>SUMIFS('작업표'!$G$7:$G$59,'작업표'!$B$7:$B$59,A13,'작업표'!$C$7:$C$59,"C")</x:f>
        <x:v>1.5</x:v>
      </x:c>
      <x:c r="G13" s="5" t="n">
        <x:f>SUMIFS('작업표'!$G$7:$G$59,'작업표'!$B$7:$B$59,A13,'작업표'!$C$7:$C$59,"D")</x:f>
        <x:v>2.5</x:v>
      </x:c>
      <x:c r="H13" s="5" t="n">
        <x:f>SUM(C13:G13)</x:f>
        <x:v>11</x:v>
      </x:c>
    </x:row>
    <x:row r="14" ht="45" customHeight="1">
      <x:c r="A14" s="17" t="n">
        <x:v>46283</x:v>
      </x:c>
      <x:c r="B14" s="6" t="str">
        <x:v>공식 마감시각 전에 제출·접수증 보관</x:v>
      </x:c>
      <x:c r="C14" s="5" t="n">
        <x:f>SUMIFS('작업표'!$G$7:$G$59,'작업표'!$B$7:$B$59,A14,'작업표'!$C$7:$C$59,"A",'작업표'!$D$7:$D$59,"&lt;&gt;예비")</x:f>
        <x:v>0.5</x:v>
      </x:c>
      <x:c r="D14" s="5" t="n">
        <x:f>SUMIFS('작업표'!$G$7:$G$59,'작업표'!$B$7:$B$59,A14,'작업표'!$C$7:$C$59,"A",'작업표'!$D$7:$D$59,"예비")</x:f>
        <x:v>0</x:v>
      </x:c>
      <x:c r="E14" s="5" t="n">
        <x:f>SUMIFS('작업표'!$G$7:$G$59,'작업표'!$B$7:$B$59,A14,'작업표'!$C$7:$C$59,"B")</x:f>
        <x:v>0.5</x:v>
      </x:c>
      <x:c r="F14" s="5" t="n">
        <x:f>SUMIFS('작업표'!$G$7:$G$59,'작업표'!$B$7:$B$59,A14,'작업표'!$C$7:$C$59,"C")</x:f>
        <x:v>0.5</x:v>
      </x:c>
      <x:c r="G14" s="5" t="n">
        <x:f>SUMIFS('작업표'!$G$7:$G$59,'작업표'!$B$7:$B$59,A14,'작업표'!$C$7:$C$59,"D")</x:f>
        <x:v>1</x:v>
      </x:c>
      <x:c r="H14" s="5" t="n">
        <x:f>SUM(C14:G14)</x:f>
        <x:v>2.5</x:v>
      </x:c>
    </x:row>
    <x:row r="15" ht="25" customHeight="1">
      <x:c r="A15" s="20" t="str">
        <x:v>전체 합계</x:v>
      </x:c>
      <x:c r="B15" s="20"/>
      <x:c r="C15" s="21" t="n">
        <x:f>SUM(C7:C14)</x:f>
        <x:v>32.5</x:v>
      </x:c>
      <x:c r="D15" s="21" t="n">
        <x:f>SUM(D7:D14)</x:f>
        <x:v>4</x:v>
      </x:c>
      <x:c r="E15" s="21" t="n">
        <x:f>SUM(E7:E14)</x:f>
        <x:v>14.5</x:v>
      </x:c>
      <x:c r="F15" s="21" t="n">
        <x:f>SUM(F7:F14)</x:f>
        <x:v>18.5</x:v>
      </x:c>
      <x:c r="G15" s="21" t="n">
        <x:f>SUM(G7:G14)</x:f>
        <x:v>20</x:v>
      </x:c>
      <x:c r="H15" s="21" t="n">
        <x:f>SUM(H7:H14)</x:f>
        <x:v>89.5</x:v>
      </x:c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 t="str">
        <x:v>A는 제작 32h + 예비 4h = 36h. 하루 4h(총 28h)만 가능하면 안내문의 8h 축소안을 적용하세요.</x:v>
      </x:c>
      <x:c r="B17" s="2"/>
      <x:c r="C17" s="2"/>
      <x:c r="D17" s="2"/>
      <x:c r="E17" s="2"/>
      <x:c r="F17" s="2"/>
      <x:c r="G17" s="2"/>
      <x:c r="H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</x:row>
    <x:row r="19" ht="34" customHeight="1">
      <x:c r="A19" s="12" t="str">
        <x:v>담당</x:v>
      </x:c>
      <x:c r="B19" s="12" t="str">
        <x:v>책임</x:v>
      </x:c>
      <x:c r="C19" s="12" t="str">
        <x:v>기본(h)</x:v>
      </x:c>
      <x:c r="D19" s="12" t="str">
        <x:v>예비(h)</x:v>
      </x:c>
      <x:c r="E19" s="12" t="str">
        <x:v>제출(h)</x:v>
      </x:c>
      <x:c r="F19" s="12" t="str">
        <x:v>전체(h)</x:v>
      </x:c>
      <x:c r="G19" s="12" t="str">
        <x:v>7일 최소(h)</x:v>
      </x:c>
      <x:c r="H19" s="12" t="str">
        <x:v>7일 최대(h)</x:v>
      </x:c>
    </x:row>
    <x:row r="20" ht="33" customHeight="1">
      <x:c r="A20" s="2" t="str">
        <x:v>A</x:v>
      </x:c>
      <x:c r="B20" s="2" t="str">
        <x:v>모든 코드·AI 연결·계산·체인·기술 검증</x:v>
      </x:c>
      <x:c r="C20" s="5" t="n">
        <x:f>SUMIFS('작업표'!$G$7:$G$59,'작업표'!$C$7:$C$59,A20,'작업표'!$D$7:$D$59,"기본")</x:f>
        <x:v>32</x:v>
      </x:c>
      <x:c r="D20" s="5" t="n">
        <x:f>SUMIFS('작업표'!$G$7:$G$59,'작업표'!$C$7:$C$59,A20,'작업표'!$D$7:$D$59,"예비")</x:f>
        <x:v>4</x:v>
      </x:c>
      <x:c r="E20" s="5" t="n">
        <x:f>SUMIFS('작업표'!$G$7:$G$59,'작업표'!$C$7:$C$59,A20,'작업표'!$D$7:$D$59,"제출")</x:f>
        <x:v>0.5</x:v>
      </x:c>
      <x:c r="F20" s="5" t="n">
        <x:f>SUM(C20:E20)</x:f>
        <x:v>36.5</x:v>
      </x:c>
      <x:c r="G20" s="5" t="n">
        <x:f>B29*$D$29</x:f>
        <x:v>28</x:v>
      </x:c>
      <x:c r="H20" s="5" t="n">
        <x:f>C29*$D$29</x:f>
        <x:v>42</x:v>
      </x:c>
    </x:row>
    <x:row r="21" ht="33" customHeight="1">
      <x:c r="A21" s="2" t="str">
        <x:v>B</x:v>
      </x:c>
      <x:c r="B21" s="2" t="str">
        <x:v>원문 확보·출처·숫자 대조·증빙 정리</x:v>
      </x:c>
      <x:c r="C21" s="5" t="n">
        <x:f>SUMIFS('작업표'!$G$7:$G$59,'작업표'!$C$7:$C$59,A21,'작업표'!$D$7:$D$59,"기본")</x:f>
        <x:v>14</x:v>
      </x:c>
      <x:c r="D21" s="5" t="n">
        <x:f>SUMIFS('작업표'!$G$7:$G$59,'작업표'!$C$7:$C$59,A21,'작업표'!$D$7:$D$59,"예비")</x:f>
        <x:v>0</x:v>
      </x:c>
      <x:c r="E21" s="5" t="n">
        <x:f>SUMIFS('작업표'!$G$7:$G$59,'작업표'!$C$7:$C$59,A21,'작업표'!$D$7:$D$59,"제출")</x:f>
        <x:v>0.5</x:v>
      </x:c>
      <x:c r="F21" s="5" t="n">
        <x:f>SUM(C21:E21)</x:f>
        <x:v>14.5</x:v>
      </x:c>
      <x:c r="G21" s="5" t="n">
        <x:f>B30*$D$29</x:f>
        <x:v>21</x:v>
      </x:c>
      <x:c r="H21" s="5" t="n">
        <x:f>C30*$D$29</x:f>
        <x:v>21</x:v>
      </x:c>
    </x:row>
    <x:row r="22" ht="33" customHeight="1">
      <x:c r="A22" s="2" t="str">
        <x:v>C</x:v>
      </x:c>
      <x:c r="B22" s="2" t="str">
        <x:v>설명·문항·원문 교차검토·사용자 시험</x:v>
      </x:c>
      <x:c r="C22" s="5" t="n">
        <x:f>SUMIFS('작업표'!$G$7:$G$59,'작업표'!$C$7:$C$59,A22,'작업표'!$D$7:$D$59,"기본")</x:f>
        <x:v>18</x:v>
      </x:c>
      <x:c r="D22" s="5" t="n">
        <x:f>SUMIFS('작업표'!$G$7:$G$59,'작업표'!$C$7:$C$59,A22,'작업표'!$D$7:$D$59,"예비")</x:f>
        <x:v>0</x:v>
      </x:c>
      <x:c r="E22" s="5" t="n">
        <x:f>SUMIFS('작업표'!$G$7:$G$59,'작업표'!$C$7:$C$59,A22,'작업표'!$D$7:$D$59,"제출")</x:f>
        <x:v>0.5</x:v>
      </x:c>
      <x:c r="F22" s="5" t="n">
        <x:f>SUM(C22:E22)</x:f>
        <x:v>18.5</x:v>
      </x:c>
      <x:c r="G22" s="5" t="n">
        <x:f>B31*$D$29</x:f>
        <x:v>21</x:v>
      </x:c>
      <x:c r="H22" s="5" t="n">
        <x:f>C31*$D$29</x:f>
        <x:v>21</x:v>
      </x:c>
    </x:row>
    <x:row r="23" ht="33" customHeight="1">
      <x:c r="A23" s="2" t="str">
        <x:v>D</x:v>
      </x:c>
      <x:c r="B23" s="2" t="str">
        <x:v>기획서·시연 대본·녹화·편집·제출</x:v>
      </x:c>
      <x:c r="C23" s="5" t="n">
        <x:f>SUMIFS('작업표'!$G$7:$G$59,'작업표'!$C$7:$C$59,A23,'작업표'!$D$7:$D$59,"기본")</x:f>
        <x:v>19</x:v>
      </x:c>
      <x:c r="D23" s="5" t="n">
        <x:f>SUMIFS('작업표'!$G$7:$G$59,'작업표'!$C$7:$C$59,A23,'작업표'!$D$7:$D$59,"예비")</x:f>
        <x:v>0</x:v>
      </x:c>
      <x:c r="E23" s="5" t="n">
        <x:f>SUMIFS('작업표'!$G$7:$G$59,'작업표'!$C$7:$C$59,A23,'작업표'!$D$7:$D$59,"제출")</x:f>
        <x:v>1</x:v>
      </x:c>
      <x:c r="F23" s="5" t="n">
        <x:f>SUM(C23:E23)</x:f>
        <x:v>20</x:v>
      </x:c>
      <x:c r="G23" s="5" t="n">
        <x:f>B32*$D$29</x:f>
        <x:v>21</x:v>
      </x:c>
      <x:c r="H23" s="5" t="n">
        <x:f>C32*$D$29</x:f>
        <x:v>21</x:v>
      </x:c>
    </x:row>
    <x:row r="24" ht="25" customHeight="1">
      <x:c r="A24" s="2"/>
      <x:c r="B24" s="2"/>
      <x:c r="C24" s="2"/>
      <x:c r="D24" s="2"/>
      <x:c r="E24" s="2"/>
      <x:c r="F24" s="2"/>
      <x:c r="G24" s="2"/>
      <x:c r="H24" s="2"/>
    </x:row>
    <x:row r="25" ht="25" customHeight="1">
      <x:c r="A25" s="2" t="str">
        <x:v>진행률</x:v>
      </x:c>
      <x:c r="B25" s="2" t="str">
        <x:v>기본 작업 완료 / 전체 기본 작업</x:v>
      </x:c>
      <x:c r="C25" s="22" t="n">
        <x:f>COUNTIFS('작업표'!$D$7:$D$59,"기본",'작업표'!$K$7:$K$59,"완료")/COUNTIF('작업표'!$D$7:$D$59,"기본")</x:f>
        <x:v>0</x:v>
      </x:c>
      <x:c r="D25" s="2" t="str">
        <x:v>완료 건수</x:v>
      </x:c>
      <x:c r="E25" s="2" t="n">
        <x:f>COUNTIFS('작업표'!$D$7:$D$59,"기본",'작업표'!$K$7:$K$59,"완료")</x:f>
        <x:v>0</x:v>
      </x:c>
      <x:c r="F25" s="2" t="str">
        <x:v>기본 건수</x:v>
      </x:c>
      <x:c r="G25" s="2" t="n">
        <x:f>COUNTIF('작업표'!$D$7:$D$59,"기본")</x:f>
        <x:v>47</x:v>
      </x:c>
      <x:c r="H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</x:row>
    <x:row r="27" ht="25" customHeight="1">
      <x:c r="A27" s="23" t="str">
        <x:v>가용시간 입력</x:v>
      </x:c>
      <x:c r="B27" s="2"/>
      <x:c r="C27" s="2"/>
      <x:c r="D27" s="2"/>
      <x:c r="E27" s="2"/>
      <x:c r="F27" s="2"/>
      <x:c r="G27" s="2"/>
      <x:c r="H27" s="2"/>
    </x:row>
    <x:row r="28" ht="29" customHeight="1">
      <x:c r="A28" s="12" t="str">
        <x:v>담당</x:v>
      </x:c>
      <x:c r="B28" s="12" t="str">
        <x:v>하루 최소(h)</x:v>
      </x:c>
      <x:c r="C28" s="12" t="str">
        <x:v>하루 최대(h)</x:v>
      </x:c>
      <x:c r="D28" s="12" t="str">
        <x:v>개발·제작일</x:v>
      </x:c>
      <x:c r="E28" s="12" t="str">
        <x:v>근거</x:v>
      </x:c>
      <x:c r="F28" s="2"/>
      <x:c r="G28" s="2"/>
      <x:c r="H28" s="2"/>
    </x:row>
    <x:row r="29" ht="29" customHeight="1">
      <x:c r="A29" s="2" t="str">
        <x:v>A</x:v>
      </x:c>
      <x:c r="B29" s="25" t="n">
        <x:v>4</x:v>
      </x:c>
      <x:c r="C29" s="25" t="n">
        <x:v>6</x:v>
      </x:c>
      <x:c r="D29" s="24" t="n">
        <x:v>7</x:v>
      </x:c>
      <x:c r="E29" s="2" t="str">
        <x:v>사용자 확인</x:v>
      </x:c>
      <x:c r="F29" s="2"/>
      <x:c r="G29" s="2"/>
      <x:c r="H29" s="2"/>
    </x:row>
    <x:row r="30" ht="29" customHeight="1">
      <x:c r="A30" s="2" t="str">
        <x:v>B</x:v>
      </x:c>
      <x:c r="B30" s="25" t="n">
        <x:v>3</x:v>
      </x:c>
      <x:c r="C30" s="25" t="n">
        <x:v>3</x:v>
      </x:c>
      <x:c r="D30" s="2"/>
      <x:c r="E30" s="2" t="str">
        <x:v>계획 가정</x:v>
      </x:c>
      <x:c r="F30" s="2"/>
      <x:c r="G30" s="2"/>
      <x:c r="H30" s="2"/>
    </x:row>
    <x:row r="31" ht="29" customHeight="1">
      <x:c r="A31" s="2" t="str">
        <x:v>C</x:v>
      </x:c>
      <x:c r="B31" s="25" t="n">
        <x:v>3</x:v>
      </x:c>
      <x:c r="C31" s="25" t="n">
        <x:v>3</x:v>
      </x:c>
      <x:c r="D31" s="2"/>
      <x:c r="E31" s="2" t="str">
        <x:v>계획 가정</x:v>
      </x:c>
      <x:c r="F31" s="2"/>
      <x:c r="G31" s="2"/>
      <x:c r="H31" s="2"/>
    </x:row>
    <x:row r="32" ht="29" customHeight="1">
      <x:c r="A32" s="2" t="str">
        <x:v>D</x:v>
      </x:c>
      <x:c r="B32" s="25" t="n">
        <x:v>3</x:v>
      </x:c>
      <x:c r="C32" s="25" t="n">
        <x:v>3</x:v>
      </x:c>
      <x:c r="D32" s="2"/>
      <x:c r="E32" s="2" t="str">
        <x:v>계획 가정</x:v>
      </x:c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 t="str">
        <x:v>시간 합계는 작업표에서 계산됩니다. 실제(h)가 빈칸이면 아직 기록하지 않은 상태이며, 0시간을 뜻하지 않습니다.</x:v>
      </x:c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8" hidden="0" customWidth="1"/>
    <x:col min="4" max="4" width="9" hidden="0" customWidth="1"/>
    <x:col min="5" max="5" width="14" hidden="0" customWidth="1"/>
    <x:col min="6" max="6" width="37" hidden="0" customWidth="1"/>
    <x:col min="7" max="7" width="9" hidden="0" customWidth="1"/>
    <x:col min="8" max="8" width="19" hidden="0" customWidth="1"/>
    <x:col min="9" max="9" width="31" hidden="0" customWidth="1"/>
    <x:col min="10" max="10" width="49" hidden="0" customWidth="1"/>
    <x:col min="11" max="11" width="12" hidden="0" customWidth="1"/>
    <x:col min="12" max="12" width="1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9/18 제출 작업표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시간·상태를 수정하세요. A=개발, B=원문, C=설명·검수, D=기획·영상. 모든 시간은 작업 추정치입니다.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2" t="str">
        <x:v>ID</x:v>
      </x:c>
      <x:c r="B6" s="12" t="str">
        <x:v>날짜</x:v>
      </x:c>
      <x:c r="C6" s="12" t="str">
        <x:v>담당</x:v>
      </x:c>
      <x:c r="D6" s="12" t="str">
        <x:v>구분</x:v>
      </x:c>
      <x:c r="E6" s="12" t="str">
        <x:v>과정</x:v>
      </x:c>
      <x:c r="F6" s="12" t="str">
        <x:v>작업</x:v>
      </x:c>
      <x:c r="G6" s="12" t="str">
        <x:v>시간(h)</x:v>
      </x:c>
      <x:c r="H6" s="12" t="str">
        <x:v>선행 작업</x:v>
      </x:c>
      <x:c r="I6" s="12" t="str">
        <x:v>산출물</x:v>
      </x:c>
      <x:c r="J6" s="12" t="str">
        <x:v>완료 기준</x:v>
      </x:c>
      <x:c r="K6" s="12" t="str">
        <x:v>상태</x:v>
      </x:c>
      <x:c r="L6" s="12" t="str">
        <x:v>실제(h)</x:v>
      </x:c>
    </x:row>
    <x:row r="7" ht="49" customHeight="1">
      <x:c r="A7" s="6" t="str">
        <x:v>A01</x:v>
      </x:c>
      <x:c r="B7" s="15" t="n">
        <x:v>46276</x:v>
      </x:c>
      <x:c r="C7" s="16" t="str">
        <x:v>A</x:v>
      </x:c>
      <x:c r="D7" s="16" t="str">
        <x:v>기본</x:v>
      </x:c>
      <x:c r="E7" s="6" t="str">
        <x:v>환경·설계</x:v>
      </x:c>
      <x:c r="F7" s="6" t="str">
        <x:v>기존 코드 실행·두 시나리오 데이터 형식</x:v>
      </x:c>
      <x:c r="G7" s="13" t="n">
        <x:v>2</x:v>
      </x:c>
      <x:c r="H7" s="6" t="str">
        <x:v>없음</x:v>
      </x:c>
      <x:c r="I7" s="6" t="str">
        <x:v>실행 확인·공통 데이터 표</x:v>
      </x:c>
      <x:c r="J7" s="6" t="str">
        <x:v>기존 대출 완주, 문서 ID·개념 ID 확정</x:v>
      </x:c>
      <x:c r="K7" s="14" t="str">
        <x:v>미착수</x:v>
      </x:c>
      <x:c r="L7" s="13"/>
    </x:row>
    <x:row r="8" ht="49" customHeight="1">
      <x:c r="A8" s="6" t="str">
        <x:v>A02</x:v>
      </x:c>
      <x:c r="B8" s="15" t="n">
        <x:v>46276</x:v>
      </x:c>
      <x:c r="C8" s="16" t="str">
        <x:v>A</x:v>
      </x:c>
      <x:c r="D8" s="16" t="str">
        <x:v>기본</x:v>
      </x:c>
      <x:c r="E8" s="6" t="str">
        <x:v>블록체인</x:v>
      </x:c>
      <x:c r="F8" s="6" t="str">
        <x:v>Sepolia 지갑·RPC·테스트 토큰 준비</x:v>
      </x:c>
      <x:c r="G8" s="13" t="n">
        <x:v>1</x:v>
      </x:c>
      <x:c r="H8" s="6" t="str">
        <x:v>A01</x:v>
      </x:c>
      <x:c r="I8" s="6" t="str">
        <x:v>전용 지갑·RPC 설정</x:v>
      </x:c>
      <x:c r="J8" s="6" t="str">
        <x:v>체인 ID 11155111 확인, 토큰 확보 착수</x:v>
      </x:c>
      <x:c r="K8" s="14" t="str">
        <x:v>미착수</x:v>
      </x:c>
      <x:c r="L8" s="13"/>
    </x:row>
    <x:row r="9" ht="49" customHeight="1">
      <x:c r="A9" s="6" t="str">
        <x:v>A03</x:v>
      </x:c>
      <x:c r="B9" s="15" t="n">
        <x:v>46276</x:v>
      </x:c>
      <x:c r="C9" s="16" t="str">
        <x:v>A</x:v>
      </x:c>
      <x:c r="D9" s="16" t="str">
        <x:v>기본</x:v>
      </x:c>
      <x:c r="E9" s="6" t="str">
        <x:v>화면·흐름</x:v>
      </x:c>
      <x:c r="F9" s="6" t="str">
        <x:v>두 체험 선택 화면·상태 구분</x:v>
      </x:c>
      <x:c r="G9" s="13" t="n">
        <x:v>1</x:v>
      </x:c>
      <x:c r="H9" s="6" t="str">
        <x:v>A01</x:v>
      </x:c>
      <x:c r="I9" s="6" t="str">
        <x:v>동의서/대출 진입 버튼</x:v>
      </x:c>
      <x:c r="J9" s="6" t="str">
        <x:v>시나리오 간 답변 상태 분리</x:v>
      </x:c>
      <x:c r="K9" s="14" t="str">
        <x:v>미착수</x:v>
      </x:c>
      <x:c r="L9" s="13"/>
    </x:row>
    <x:row r="10" ht="49" customHeight="1">
      <x:c r="A10" s="6" t="str">
        <x:v>B01</x:v>
      </x:c>
      <x:c r="B10" s="15" t="n">
        <x:v>46276</x:v>
      </x:c>
      <x:c r="C10" s="16" t="str">
        <x:v>B</x:v>
      </x:c>
      <x:c r="D10" s="16" t="str">
        <x:v>기본</x:v>
      </x:c>
      <x:c r="E10" s="6" t="str">
        <x:v>원문 확보</x:v>
      </x:c>
      <x:c r="F10" s="6" t="str">
        <x:v>공식 자료 2종 선정·보관·출처 기록</x:v>
      </x:c>
      <x:c r="G10" s="13" t="n">
        <x:v>2.5</x:v>
      </x:c>
      <x:c r="H10" s="6" t="str">
        <x:v>없음</x:v>
      </x:c>
      <x:c r="I10" s="6" t="str">
        <x:v>원문 2개·출처표</x:v>
      </x:c>
      <x:c r="J10" s="6" t="str">
        <x:v>업무 용도·다운로드일·버전·사용 위치 기록</x:v>
      </x:c>
      <x:c r="K10" s="14" t="str">
        <x:v>미착수</x:v>
      </x:c>
      <x:c r="L10" s="13"/>
    </x:row>
    <x:row r="11" ht="49" customHeight="1">
      <x:c r="A11" s="6" t="str">
        <x:v>B02</x:v>
      </x:c>
      <x:c r="B11" s="15" t="n">
        <x:v>46276</x:v>
      </x:c>
      <x:c r="C11" s="16" t="str">
        <x:v>B</x:v>
      </x:c>
      <x:c r="D11" s="16" t="str">
        <x:v>기본</x:v>
      </x:c>
      <x:c r="E11" s="6" t="str">
        <x:v>원문 확보</x:v>
      </x:c>
      <x:c r="F11" s="6" t="str">
        <x:v>개발자와 입력표·파일 전달 방식 합의</x:v>
      </x:c>
      <x:c r="G11" s="13" t="n">
        <x:v>0.5</x:v>
      </x:c>
      <x:c r="H11" s="6" t="str">
        <x:v>B01, A01</x:v>
      </x:c>
      <x:c r="I11" s="6" t="str">
        <x:v>문서 ID·원문 파일</x:v>
      </x:c>
      <x:c r="J11" s="6" t="str">
        <x:v>민원 동의와 대출 설명을 별도 시나리오로 전달</x:v>
      </x:c>
      <x:c r="K11" s="14" t="str">
        <x:v>미착수</x:v>
      </x:c>
      <x:c r="L11" s="13"/>
    </x:row>
    <x:row r="12" ht="49" customHeight="1">
      <x:c r="A12" s="6" t="str">
        <x:v>C01</x:v>
      </x:c>
      <x:c r="B12" s="15" t="n">
        <x:v>46276</x:v>
      </x:c>
      <x:c r="C12" s="16" t="str">
        <x:v>C</x:v>
      </x:c>
      <x:c r="D12" s="16" t="str">
        <x:v>기본</x:v>
      </x:c>
      <x:c r="E12" s="6" t="str">
        <x:v>콘텐츠 설계</x:v>
      </x:c>
      <x:c r="F12" s="6" t="str">
        <x:v>개념 6개·질문 방향·흐름 설계</x:v>
      </x:c>
      <x:c r="G12" s="13" t="n">
        <x:v>3</x:v>
      </x:c>
      <x:c r="H12" s="6" t="str">
        <x:v>B01</x:v>
      </x:c>
      <x:c r="I12" s="6" t="str">
        <x:v>개념 목록·문항 골격</x:v>
      </x:c>
      <x:c r="J12" s="6" t="str">
        <x:v>각 체험3개념, 최초·재확인 문제 구분</x:v>
      </x:c>
      <x:c r="K12" s="14" t="str">
        <x:v>미착수</x:v>
      </x:c>
      <x:c r="L12" s="13"/>
    </x:row>
    <x:row r="13" ht="49" customHeight="1">
      <x:c r="A13" s="6" t="str">
        <x:v>D01</x:v>
      </x:c>
      <x:c r="B13" s="15" t="n">
        <x:v>46276</x:v>
      </x:c>
      <x:c r="C13" s="16" t="str">
        <x:v>D</x:v>
      </x:c>
      <x:c r="D13" s="16" t="str">
        <x:v>기본</x:v>
      </x:c>
      <x:c r="E13" s="6" t="str">
        <x:v>제출 준비</x:v>
      </x:c>
      <x:c r="F13" s="6" t="str">
        <x:v>규격·마감시각·심사기준 확인</x:v>
      </x:c>
      <x:c r="G13" s="13" t="n">
        <x:v>1</x:v>
      </x:c>
      <x:c r="H13" s="6" t="str">
        <x:v>없음</x:v>
      </x:c>
      <x:c r="I13" s="6" t="str">
        <x:v>제출 요구사항1장</x:v>
      </x:c>
      <x:c r="J13" s="6" t="str">
        <x:v>분량·영상시간·파일형식·정확한 마감시각 확인</x:v>
      </x:c>
      <x:c r="K13" s="14" t="str">
        <x:v>미착수</x:v>
      </x:c>
      <x:c r="L13" s="13"/>
    </x:row>
    <x:row r="14" ht="49" customHeight="1">
      <x:c r="A14" s="6" t="str">
        <x:v>D02</x:v>
      </x:c>
      <x:c r="B14" s="15" t="n">
        <x:v>46276</x:v>
      </x:c>
      <x:c r="C14" s="16" t="str">
        <x:v>D</x:v>
      </x:c>
      <x:c r="D14" s="16" t="str">
        <x:v>기본</x:v>
      </x:c>
      <x:c r="E14" s="6" t="str">
        <x:v>기획·운영</x:v>
      </x:c>
      <x:c r="F14" s="6" t="str">
        <x:v>역할표·기획서 목차·시연 줄거리</x:v>
      </x:c>
      <x:c r="G14" s="13" t="n">
        <x:v>2</x:v>
      </x:c>
      <x:c r="H14" s="6" t="str">
        <x:v>D01</x:v>
      </x:c>
      <x:c r="I14" s="6" t="str">
        <x:v>공유 작업표·목차</x:v>
      </x:c>
      <x:c r="J14" s="6" t="str">
        <x:v>개발자에 문서·영상 편집 업무 넘기지 않음</x:v>
      </x:c>
      <x:c r="K14" s="14" t="str">
        <x:v>미착수</x:v>
      </x:c>
      <x:c r="L14" s="13"/>
    </x:row>
    <x:row r="15" ht="49" customHeight="1">
      <x:c r="A15" s="6" t="str">
        <x:v>A04</x:v>
      </x:c>
      <x:c r="B15" s="15" t="n">
        <x:v>46277</x:v>
      </x:c>
      <x:c r="C15" s="16" t="str">
        <x:v>A</x:v>
      </x:c>
      <x:c r="D15" s="16" t="str">
        <x:v>기본</x:v>
      </x:c>
      <x:c r="E15" s="6" t="str">
        <x:v>AI 초안</x:v>
      </x:c>
      <x:c r="F15" s="6" t="str">
        <x:v>두 원문의 AI 초안 출력 도구 조정</x:v>
      </x:c>
      <x:c r="G15" s="13" t="n">
        <x:v>2</x:v>
      </x:c>
      <x:c r="H15" s="6" t="str">
        <x:v>A01, B02</x:v>
      </x:c>
      <x:c r="I15" s="6" t="str">
        <x:v>초안 JSON 2개</x:v>
      </x:c>
      <x:c r="J15" s="6" t="str">
        <x:v>실제 API 출력 저장, 원문 근거·검토대기 표시</x:v>
      </x:c>
      <x:c r="K15" s="14" t="str">
        <x:v>미착수</x:v>
      </x:c>
      <x:c r="L15" s="13"/>
    </x:row>
    <x:row r="16" ht="49" customHeight="1">
      <x:c r="A16" s="6" t="str">
        <x:v>A05</x:v>
      </x:c>
      <x:c r="B16" s="15" t="n">
        <x:v>46277</x:v>
      </x:c>
      <x:c r="C16" s="16" t="str">
        <x:v>A</x:v>
      </x:c>
      <x:c r="D16" s="16" t="str">
        <x:v>기본</x:v>
      </x:c>
      <x:c r="E16" s="6" t="str">
        <x:v>블록체인</x:v>
      </x:c>
      <x:c r="F16" s="6" t="str">
        <x:v>공개 테스트넷 등록 도구 작성</x:v>
      </x:c>
      <x:c r="G16" s="13" t="n">
        <x:v>2</x:v>
      </x:c>
      <x:c r="H16" s="6" t="str">
        <x:v>A02</x:v>
      </x:c>
      <x:c r="I16" s="6" t="str">
        <x:v>배포·등록 도구</x:v>
      </x:c>
      <x:c r="J16" s="6" t="str">
        <x:v>로컬 체인과 구분, 계약 주소 재사용</x:v>
      </x:c>
      <x:c r="K16" s="14" t="str">
        <x:v>미착수</x:v>
      </x:c>
      <x:c r="L16" s="13"/>
    </x:row>
    <x:row r="17" ht="49" customHeight="1">
      <x:c r="A17" s="6" t="str">
        <x:v>A06</x:v>
      </x:c>
      <x:c r="B17" s="15" t="n">
        <x:v>46277</x:v>
      </x:c>
      <x:c r="C17" s="16" t="str">
        <x:v>A</x:v>
      </x:c>
      <x:c r="D17" s="16" t="str">
        <x:v>기본</x:v>
      </x:c>
      <x:c r="E17" s="6" t="str">
        <x:v>화면·흐름</x:v>
      </x:c>
      <x:c r="F17" s="6" t="str">
        <x:v>기본·쉬운 설명과 큰 글씨 연결</x:v>
      </x:c>
      <x:c r="G17" s="13" t="n">
        <x:v>1</x:v>
      </x:c>
      <x:c r="H17" s="6" t="str">
        <x:v>A03</x:v>
      </x:c>
      <x:c r="I17" s="6" t="str">
        <x:v>공통 설명 화면</x:v>
      </x:c>
      <x:c r="J17" s="6" t="str">
        <x:v>난이도와 글씨 크기 각각 변경</x:v>
      </x:c>
      <x:c r="K17" s="14" t="str">
        <x:v>미착수</x:v>
      </x:c>
      <x:c r="L17" s="13"/>
    </x:row>
    <x:row r="18" ht="49" customHeight="1">
      <x:c r="A18" s="6" t="str">
        <x:v>B03</x:v>
      </x:c>
      <x:c r="B18" s="15" t="n">
        <x:v>46277</x:v>
      </x:c>
      <x:c r="C18" s="16" t="str">
        <x:v>B</x:v>
      </x:c>
      <x:c r="D18" s="16" t="str">
        <x:v>기본</x:v>
      </x:c>
      <x:c r="E18" s="6" t="str">
        <x:v>원문 정리</x:v>
      </x:c>
      <x:c r="F18" s="6" t="str">
        <x:v>동의 항목·금리/상환 근거 정리</x:v>
      </x:c>
      <x:c r="G18" s="13" t="n">
        <x:v>1.5</x:v>
      </x:c>
      <x:c r="H18" s="6" t="str">
        <x:v>B01</x:v>
      </x:c>
      <x:c r="I18" s="6" t="str">
        <x:v>원문 텍스트·위치표</x:v>
      </x:c>
      <x:c r="J18" s="6" t="str">
        <x:v>문서 2종, 동의 필드 6개, 개념 근거 6묶음</x:v>
      </x:c>
      <x:c r="K18" s="14" t="str">
        <x:v>미착수</x:v>
      </x:c>
      <x:c r="L18" s="13"/>
    </x:row>
    <x:row r="19" ht="49" customHeight="1">
      <x:c r="A19" s="6" t="str">
        <x:v>B04</x:v>
      </x:c>
      <x:c r="B19" s="15" t="n">
        <x:v>46277</x:v>
      </x:c>
      <x:c r="C19" s="16" t="str">
        <x:v>B</x:v>
      </x:c>
      <x:c r="D19" s="16" t="str">
        <x:v>기본</x:v>
      </x:c>
      <x:c r="E19" s="6" t="str">
        <x:v>원문 검토</x:v>
      </x:c>
      <x:c r="F19" s="6" t="str">
        <x:v>AI 초안의 기간·숫자·거부 영향 대조</x:v>
      </x:c>
      <x:c r="G19" s="13" t="n">
        <x:v>1.5</x:v>
      </x:c>
      <x:c r="H19" s="6" t="str">
        <x:v>B03, A04</x:v>
      </x:c>
      <x:c r="I19" s="6" t="str">
        <x:v>수정 의견·1차 승인본</x:v>
      </x:c>
      <x:c r="J19" s="6" t="str">
        <x:v>모르는 내용은 미확인 표시, 실제/가상 조건 분리</x:v>
      </x:c>
      <x:c r="K19" s="14" t="str">
        <x:v>미착수</x:v>
      </x:c>
      <x:c r="L19" s="13"/>
    </x:row>
    <x:row r="20" ht="49" customHeight="1">
      <x:c r="A20" s="6" t="str">
        <x:v>C02</x:v>
      </x:c>
      <x:c r="B20" s="15" t="n">
        <x:v>46277</x:v>
      </x:c>
      <x:c r="C20" s="16" t="str">
        <x:v>C</x:v>
      </x:c>
      <x:c r="D20" s="16" t="str">
        <x:v>기본</x:v>
      </x:c>
      <x:c r="E20" s="6" t="str">
        <x:v>설명 작성</x:v>
      </x:c>
      <x:c r="F20" s="6" t="str">
        <x:v>AI 초안으로 설명 18개 편집</x:v>
      </x:c>
      <x:c r="G20" s="13" t="n">
        <x:v>2</x:v>
      </x:c>
      <x:c r="H20" s="6" t="str">
        <x:v>A04, C01</x:v>
      </x:c>
      <x:c r="I20" s="6" t="str">
        <x:v>기본·쉬운·재설명 각6개</x:v>
      </x:c>
      <x:c r="J20" s="6" t="str">
        <x:v>문장마다 원문 위치 연결, 전문용어 풀이</x:v>
      </x:c>
      <x:c r="K20" s="14" t="str">
        <x:v>미착수</x:v>
      </x:c>
      <x:c r="L20" s="13"/>
    </x:row>
    <x:row r="21" ht="49" customHeight="1">
      <x:c r="A21" s="6" t="str">
        <x:v>C03</x:v>
      </x:c>
      <x:c r="B21" s="15" t="n">
        <x:v>46277</x:v>
      </x:c>
      <x:c r="C21" s="16" t="str">
        <x:v>C</x:v>
      </x:c>
      <x:c r="D21" s="16" t="str">
        <x:v>기본</x:v>
      </x:c>
      <x:c r="E21" s="6" t="str">
        <x:v>문항 작성</x:v>
      </x:c>
      <x:c r="F21" s="6" t="str">
        <x:v>문항 12개 1차 작성</x:v>
      </x:c>
      <x:c r="G21" s="13" t="n">
        <x:v>1</x:v>
      </x:c>
      <x:c r="H21" s="6" t="str">
        <x:v>C01, C02</x:v>
      </x:c>
      <x:c r="I21" s="6" t="str">
        <x:v>문항 초안12개</x:v>
      </x:c>
      <x:c r="J21" s="6" t="str">
        <x:v>보기·정답·정답 근거·오답 피드백 포함</x:v>
      </x:c>
      <x:c r="K21" s="14" t="str">
        <x:v>미착수</x:v>
      </x:c>
      <x:c r="L21" s="13"/>
    </x:row>
    <x:row r="22" ht="49" customHeight="1">
      <x:c r="A22" s="6" t="str">
        <x:v>D03</x:v>
      </x:c>
      <x:c r="B22" s="15" t="n">
        <x:v>46277</x:v>
      </x:c>
      <x:c r="C22" s="16" t="str">
        <x:v>D</x:v>
      </x:c>
      <x:c r="D22" s="16" t="str">
        <x:v>기본</x:v>
      </x:c>
      <x:c r="E22" s="6" t="str">
        <x:v>기획서</x:v>
      </x:c>
      <x:c r="F22" s="6" t="str">
        <x:v>문제·대상·서비스 흐름 초안</x:v>
      </x:c>
      <x:c r="G22" s="13" t="n">
        <x:v>2.5</x:v>
      </x:c>
      <x:c r="H22" s="6" t="str">
        <x:v>D02, B02</x:v>
      </x:c>
      <x:c r="I22" s="6" t="str">
        <x:v>기획서 초안1</x:v>
      </x:c>
      <x:c r="J22" s="6" t="str">
        <x:v>두 체험 범위·예상효과·출처 표시</x:v>
      </x:c>
      <x:c r="K22" s="14" t="str">
        <x:v>미착수</x:v>
      </x:c>
      <x:c r="L22" s="13"/>
    </x:row>
    <x:row r="23" ht="49" customHeight="1">
      <x:c r="A23" s="6" t="str">
        <x:v>A07</x:v>
      </x:c>
      <x:c r="B23" s="15" t="n">
        <x:v>46278</x:v>
      </x:c>
      <x:c r="C23" s="16" t="str">
        <x:v>A</x:v>
      </x:c>
      <x:c r="D23" s="16" t="str">
        <x:v>기본</x:v>
      </x:c>
      <x:c r="E23" s="6" t="str">
        <x:v>AI 초안</x:v>
      </x:c>
      <x:c r="F23" s="6" t="str">
        <x:v>출력 근거·누락 확인, 승인본 구분</x:v>
      </x:c>
      <x:c r="G23" s="13" t="n">
        <x:v>1</x:v>
      </x:c>
      <x:c r="H23" s="6" t="str">
        <x:v>A04, B04, C03</x:v>
      </x:c>
      <x:c r="I23" s="6" t="str">
        <x:v>검토용 초안/승인본 구분</x:v>
      </x:c>
      <x:c r="J23" s="6" t="str">
        <x:v>미검토 초안이 시연 화면에 나타나지 않음</x:v>
      </x:c>
      <x:c r="K23" s="14" t="str">
        <x:v>미착수</x:v>
      </x:c>
      <x:c r="L23" s="13"/>
    </x:row>
    <x:row r="24" ht="49" customHeight="1">
      <x:c r="A24" s="6" t="str">
        <x:v>A08</x:v>
      </x:c>
      <x:c r="B24" s="15" t="n">
        <x:v>46278</x:v>
      </x:c>
      <x:c r="C24" s="16" t="str">
        <x:v>A</x:v>
      </x:c>
      <x:c r="D24" s="16" t="str">
        <x:v>기본</x:v>
      </x:c>
      <x:c r="E24" s="6" t="str">
        <x:v>콘텐츠 연결</x:v>
      </x:c>
      <x:c r="F24" s="6" t="str">
        <x:v>문항 12개 형식 검증·등록 시작</x:v>
      </x:c>
      <x:c r="G24" s="13" t="n">
        <x:v>1</x:v>
      </x:c>
      <x:c r="H24" s="6" t="str">
        <x:v>A01, C04</x:v>
      </x:c>
      <x:c r="I24" s="6" t="str">
        <x:v>문항 데이터</x:v>
      </x:c>
      <x:c r="J24" s="6" t="str">
        <x:v>개념당 최초·재확인 각 1개, 정답 서버 판정</x:v>
      </x:c>
      <x:c r="K24" s="14" t="str">
        <x:v>미착수</x:v>
      </x:c>
      <x:c r="L24" s="13"/>
    </x:row>
    <x:row r="25" ht="49" customHeight="1">
      <x:c r="A25" s="6" t="str">
        <x:v>A09</x:v>
      </x:c>
      <x:c r="B25" s="15" t="n">
        <x:v>46278</x:v>
      </x:c>
      <x:c r="C25" s="16" t="str">
        <x:v>A</x:v>
      </x:c>
      <x:c r="D25" s="16" t="str">
        <x:v>기본</x:v>
      </x:c>
      <x:c r="E25" s="6" t="str">
        <x:v>블록체인</x:v>
      </x:c>
      <x:c r="F25" s="6" t="str">
        <x:v>계약 배포·더미 기록·Explorer 검증</x:v>
      </x:c>
      <x:c r="G25" s="13" t="n">
        <x:v>3</x:v>
      </x:c>
      <x:c r="H25" s="6" t="str">
        <x:v>A05</x:v>
      </x:c>
      <x:c r="I25" s="6" t="str">
        <x:v>계약 1개·시험 기록 1건</x:v>
      </x:c>
      <x:c r="J25" s="6" t="str">
        <x:v>실제 거래 성공, 체인 해시 대조, 링크 열림</x:v>
      </x:c>
      <x:c r="K25" s="14" t="str">
        <x:v>미착수</x:v>
      </x:c>
      <x:c r="L25" s="13"/>
    </x:row>
    <x:row r="26" ht="49" customHeight="1">
      <x:c r="A26" s="6" t="str">
        <x:v>B05</x:v>
      </x:c>
      <x:c r="B26" s="15" t="n">
        <x:v>46278</x:v>
      </x:c>
      <x:c r="C26" s="16" t="str">
        <x:v>B</x:v>
      </x:c>
      <x:c r="D26" s="16" t="str">
        <x:v>기본</x:v>
      </x:c>
      <x:c r="E26" s="6" t="str">
        <x:v>문항 검토</x:v>
      </x:c>
      <x:c r="F26" s="6" t="str">
        <x:v>C 작성 문항·설명 교차검토 및 고정</x:v>
      </x:c>
      <x:c r="G26" s="13" t="n">
        <x:v>2</x:v>
      </x:c>
      <x:c r="H26" s="6" t="str">
        <x:v>C04, B04</x:v>
      </x:c>
      <x:c r="I26" s="6" t="str">
        <x:v>검토자·날짜 있는 확정본</x:v>
      </x:c>
      <x:c r="J26" s="6" t="str">
        <x:v>18설명·12문항의 근거와 정답 대조</x:v>
      </x:c>
      <x:c r="K26" s="14" t="str">
        <x:v>미착수</x:v>
      </x:c>
      <x:c r="L26" s="13"/>
    </x:row>
    <x:row r="27" ht="49" customHeight="1">
      <x:c r="A27" s="6" t="str">
        <x:v>C04</x:v>
      </x:c>
      <x:c r="B27" s="15" t="n">
        <x:v>46278</x:v>
      </x:c>
      <x:c r="C27" s="16" t="str">
        <x:v>C</x:v>
      </x:c>
      <x:c r="D27" s="16" t="str">
        <x:v>기본</x:v>
      </x:c>
      <x:c r="E27" s="6" t="str">
        <x:v>문항 작성</x:v>
      </x:c>
      <x:c r="F27" s="6" t="str">
        <x:v>상황형 질문·재확인 문항 완성</x:v>
      </x:c>
      <x:c r="G27" s="13" t="n">
        <x:v>1.5</x:v>
      </x:c>
      <x:c r="H27" s="6" t="str">
        <x:v>C03, B04</x:v>
      </x:c>
      <x:c r="I27" s="6" t="str">
        <x:v>완성 문항12개</x:v>
      </x:c>
      <x:c r="J27" s="6" t="str">
        <x:v>재확인은 문장만 바꾼 동일 문제 회피</x:v>
      </x:c>
      <x:c r="K27" s="14" t="str">
        <x:v>미착수</x:v>
      </x:c>
      <x:c r="L27" s="13"/>
    </x:row>
    <x:row r="28" ht="49" customHeight="1">
      <x:c r="A28" s="6" t="str">
        <x:v>C05</x:v>
      </x:c>
      <x:c r="B28" s="15" t="n">
        <x:v>46278</x:v>
      </x:c>
      <x:c r="C28" s="16" t="str">
        <x:v>C</x:v>
      </x:c>
      <x:c r="D28" s="16" t="str">
        <x:v>기본</x:v>
      </x:c>
      <x:c r="E28" s="6" t="str">
        <x:v>교차검토</x:v>
      </x:c>
      <x:c r="F28" s="6" t="str">
        <x:v>B의 원문 추출 확인·수정 반영</x:v>
      </x:c>
      <x:c r="G28" s="13" t="n">
        <x:v>1.5</x:v>
      </x:c>
      <x:c r="H28" s="6" t="str">
        <x:v>B03, B05</x:v>
      </x:c>
      <x:c r="I28" s="6" t="str">
        <x:v>설명·문항 최종본</x:v>
      </x:c>
      <x:c r="J28" s="6" t="str">
        <x:v>작성자와 검토자 분리, 검토일 기록</x:v>
      </x:c>
      <x:c r="K28" s="14" t="str">
        <x:v>미착수</x:v>
      </x:c>
      <x:c r="L28" s="13"/>
    </x:row>
    <x:row r="29" ht="49" customHeight="1">
      <x:c r="A29" s="6" t="str">
        <x:v>D04</x:v>
      </x:c>
      <x:c r="B29" s="15" t="n">
        <x:v>46278</x:v>
      </x:c>
      <x:c r="C29" s="16" t="str">
        <x:v>D</x:v>
      </x:c>
      <x:c r="D29" s="16" t="str">
        <x:v>기본</x:v>
      </x:c>
      <x:c r="E29" s="6" t="str">
        <x:v>시연 대본</x:v>
      </x:c>
      <x:c r="F29" s="6" t="str">
        <x:v>두 체험과 체인 조회 대본</x:v>
      </x:c>
      <x:c r="G29" s="13" t="n">
        <x:v>2.5</x:v>
      </x:c>
      <x:c r="H29" s="6" t="str">
        <x:v>C04, A09</x:v>
      </x:c>
      <x:c r="I29" s="6" t="str">
        <x:v>장면별 대본</x:v>
      </x:c>
      <x:c r="J29" s="6" t="str">
        <x:v>실시간/사전등록 장면 구분, 필수 장면 누락 없음</x:v>
      </x:c>
      <x:c r="K29" s="14" t="str">
        <x:v>미착수</x:v>
      </x:c>
      <x:c r="L29" s="13"/>
    </x:row>
    <x:row r="30" ht="49" customHeight="1">
      <x:c r="A30" s="6" t="str">
        <x:v>A10</x:v>
      </x:c>
      <x:c r="B30" s="15" t="n">
        <x:v>46279</x:v>
      </x:c>
      <x:c r="C30" s="16" t="str">
        <x:v>A</x:v>
      </x:c>
      <x:c r="D30" s="16" t="str">
        <x:v>기본</x:v>
      </x:c>
      <x:c r="E30" s="6" t="str">
        <x:v>화면·흐름</x:v>
      </x:c>
      <x:c r="F30" s="6" t="str">
        <x:v>질문→재설명→최종 선택 흐름 완성</x:v>
      </x:c>
      <x:c r="G30" s="13" t="n">
        <x:v>3</x:v>
      </x:c>
      <x:c r="H30" s="6" t="str">
        <x:v>A06, A08</x:v>
      </x:c>
      <x:c r="I30" s="6" t="str">
        <x:v>두 체험 전체 흐름</x:v>
      </x:c>
      <x:c r="J30" s="6" t="str">
        <x:v>각 3개념 완주, 오답·거부·중단 경로 동작</x:v>
      </x:c>
      <x:c r="K30" s="14" t="str">
        <x:v>미착수</x:v>
      </x:c>
      <x:c r="L30" s="13"/>
    </x:row>
    <x:row r="31" ht="49" customHeight="1">
      <x:c r="A31" s="6" t="str">
        <x:v>A11</x:v>
      </x:c>
      <x:c r="B31" s="15" t="n">
        <x:v>46279</x:v>
      </x:c>
      <x:c r="C31" s="16" t="str">
        <x:v>A</x:v>
      </x:c>
      <x:c r="D31" s="16" t="str">
        <x:v>기본</x:v>
      </x:c>
      <x:c r="E31" s="6" t="str">
        <x:v>콘텐츠 연결</x:v>
      </x:c>
      <x:c r="F31" s="6" t="str">
        <x:v>승인 콘텐츠 2종 최종 연결</x:v>
      </x:c>
      <x:c r="G31" s="13" t="n">
        <x:v>2</x:v>
      </x:c>
      <x:c r="H31" s="6" t="str">
        <x:v>A07, B05, C05</x:v>
      </x:c>
      <x:c r="I31" s="6" t="str">
        <x:v>설명 18개·근거 6묶음</x:v>
      </x:c>
      <x:c r="J31" s="6" t="str">
        <x:v>원문 이동과 개념 연결 확인, 구 초안 제거</x:v>
      </x:c>
      <x:c r="K31" s="14" t="str">
        <x:v>미착수</x:v>
      </x:c>
      <x:c r="L31" s="13"/>
    </x:row>
    <x:row r="32" ht="49" customHeight="1">
      <x:c r="A32" s="6" t="str">
        <x:v>B06</x:v>
      </x:c>
      <x:c r="B32" s="15" t="n">
        <x:v>46279</x:v>
      </x:c>
      <x:c r="C32" s="16" t="str">
        <x:v>B</x:v>
      </x:c>
      <x:c r="D32" s="16" t="str">
        <x:v>기본</x:v>
      </x:c>
      <x:c r="E32" s="6" t="str">
        <x:v>화면 검토</x:v>
      </x:c>
      <x:c r="F32" s="6" t="str">
        <x:v>원문 링크·화면 문구·출처 일치 확인</x:v>
      </x:c>
      <x:c r="G32" s="13" t="n">
        <x:v>2</x:v>
      </x:c>
      <x:c r="H32" s="6" t="str">
        <x:v>A10, A11</x:v>
      </x:c>
      <x:c r="I32" s="6" t="str">
        <x:v>수정 목록</x:v>
      </x:c>
      <x:c r="J32" s="6" t="str">
        <x:v>민원용을 대출용으로 오표시하지 않음</x:v>
      </x:c>
      <x:c r="K32" s="14" t="str">
        <x:v>미착수</x:v>
      </x:c>
      <x:c r="L32" s="13"/>
    </x:row>
    <x:row r="33" ht="49" customHeight="1">
      <x:c r="A33" s="6" t="str">
        <x:v>C06</x:v>
      </x:c>
      <x:c r="B33" s="15" t="n">
        <x:v>46279</x:v>
      </x:c>
      <x:c r="C33" s="16" t="str">
        <x:v>C</x:v>
      </x:c>
      <x:c r="D33" s="16" t="str">
        <x:v>기본</x:v>
      </x:c>
      <x:c r="E33" s="6" t="str">
        <x:v>사용자 점검</x:v>
      </x:c>
      <x:c r="F33" s="6" t="str">
        <x:v>두 체험 완주·큰 글씨·쉬운 설명 시험</x:v>
      </x:c>
      <x:c r="G33" s="13" t="n">
        <x:v>2.5</x:v>
      </x:c>
      <x:c r="H33" s="6" t="str">
        <x:v>A10, A11</x:v>
      </x:c>
      <x:c r="I33" s="6" t="str">
        <x:v>화면 결함 목록</x:v>
      </x:c>
      <x:c r="J33" s="6" t="str">
        <x:v>오답 개념만 재설명, 글씨 잘림 확인</x:v>
      </x:c>
      <x:c r="K33" s="14" t="str">
        <x:v>미착수</x:v>
      </x:c>
      <x:c r="L33" s="13"/>
    </x:row>
    <x:row r="34" ht="49" customHeight="1">
      <x:c r="A34" s="6" t="str">
        <x:v>D05</x:v>
      </x:c>
      <x:c r="B34" s="15" t="n">
        <x:v>46279</x:v>
      </x:c>
      <x:c r="C34" s="16" t="str">
        <x:v>D</x:v>
      </x:c>
      <x:c r="D34" s="16" t="str">
        <x:v>기본</x:v>
      </x:c>
      <x:c r="E34" s="6" t="str">
        <x:v>기획서</x:v>
      </x:c>
      <x:c r="F34" s="6" t="str">
        <x:v>화면 캡처·구조·역할·일정 반영</x:v>
      </x:c>
      <x:c r="G34" s="13" t="n">
        <x:v>2.5</x:v>
      </x:c>
      <x:c r="H34" s="6" t="str">
        <x:v>A10, D03</x:v>
      </x:c>
      <x:c r="I34" s="6" t="str">
        <x:v>기획서 초안2</x:v>
      </x:c>
      <x:c r="J34" s="6" t="str">
        <x:v>실제 구현과 향후계획을 구분</x:v>
      </x:c>
      <x:c r="K34" s="14" t="str">
        <x:v>미착수</x:v>
      </x:c>
      <x:c r="L34" s="13"/>
    </x:row>
    <x:row r="35" ht="49" customHeight="1">
      <x:c r="A35" s="6" t="str">
        <x:v>A12</x:v>
      </x:c>
      <x:c r="B35" s="15" t="n">
        <x:v>46280</x:v>
      </x:c>
      <x:c r="C35" s="16" t="str">
        <x:v>A</x:v>
      </x:c>
      <x:c r="D35" s="16" t="str">
        <x:v>기본</x:v>
      </x:c>
      <x:c r="E35" s="6" t="str">
        <x:v>계산·영수증</x:v>
      </x:c>
      <x:c r="F35" s="6" t="str">
        <x:v>계산 검산·세션 내용 고정·영수증</x:v>
      </x:c>
      <x:c r="G35" s="13" t="n">
        <x:v>3</x:v>
      </x:c>
      <x:c r="H35" s="6" t="str">
        <x:v>A10, A11</x:v>
      </x:c>
      <x:c r="I35" s="6" t="str">
        <x:v>계산 1종·영수증 2건</x:v>
      </x:c>
      <x:c r="J35" s="6" t="str">
        <x:v>30만원 차이, 본문 고정 후 해시, 체인정보 분리</x:v>
      </x:c>
      <x:c r="K35" s="14" t="str">
        <x:v>미착수</x:v>
      </x:c>
      <x:c r="L35" s="13"/>
    </x:row>
    <x:row r="36" ht="49" customHeight="1">
      <x:c r="A36" s="6" t="str">
        <x:v>A13</x:v>
      </x:c>
      <x:c r="B36" s="15" t="n">
        <x:v>46280</x:v>
      </x:c>
      <x:c r="C36" s="16" t="str">
        <x:v>A</x:v>
      </x:c>
      <x:c r="D36" s="16" t="str">
        <x:v>기본</x:v>
      </x:c>
      <x:c r="E36" s="6" t="str">
        <x:v>블록체인</x:v>
      </x:c>
      <x:c r="F36" s="6" t="str">
        <x:v>최종 영수증 2건 기록·조회 연결</x:v>
      </x:c>
      <x:c r="G36" s="13" t="n">
        <x:v>2</x:v>
      </x:c>
      <x:c r="H36" s="6" t="str">
        <x:v>A09, A12</x:v>
      </x:c>
      <x:c r="I36" s="6" t="str">
        <x:v>실제 최종 기록 2건</x:v>
      </x:c>
      <x:c r="J36" s="6" t="str">
        <x:v>각 영수증 키·해시·거래 링크가 정확히 대응</x:v>
      </x:c>
      <x:c r="K36" s="14" t="str">
        <x:v>미착수</x:v>
      </x:c>
      <x:c r="L36" s="13"/>
    </x:row>
    <x:row r="37" ht="49" customHeight="1">
      <x:c r="A37" s="6" t="str">
        <x:v>B07</x:v>
      </x:c>
      <x:c r="B37" s="15" t="n">
        <x:v>46280</x:v>
      </x:c>
      <x:c r="C37" s="16" t="str">
        <x:v>B</x:v>
      </x:c>
      <x:c r="D37" s="16" t="str">
        <x:v>기본</x:v>
      </x:c>
      <x:c r="E37" s="6" t="str">
        <x:v>증빙 정리</x:v>
      </x:c>
      <x:c r="F37" s="6" t="str">
        <x:v>영수증·거래 링크 대응표 작성</x:v>
      </x:c>
      <x:c r="G37" s="13" t="n">
        <x:v>1.5</x:v>
      </x:c>
      <x:c r="H37" s="6" t="str">
        <x:v>A12, A13</x:v>
      </x:c>
      <x:c r="I37" s="6" t="str">
        <x:v>최종 기록 증빙표</x:v>
      </x:c>
      <x:c r="J37" s="6" t="str">
        <x:v>영수증2건과 체인 ID·주소·해시 대응</x:v>
      </x:c>
      <x:c r="K37" s="14" t="str">
        <x:v>미착수</x:v>
      </x:c>
      <x:c r="L37" s="13"/>
    </x:row>
    <x:row r="38" ht="49" customHeight="1">
      <x:c r="A38" s="6" t="str">
        <x:v>C07</x:v>
      </x:c>
      <x:c r="B38" s="15" t="n">
        <x:v>46280</x:v>
      </x:c>
      <x:c r="C38" s="16" t="str">
        <x:v>C</x:v>
      </x:c>
      <x:c r="D38" s="16" t="str">
        <x:v>기본</x:v>
      </x:c>
      <x:c r="E38" s="6" t="str">
        <x:v>수치 검토</x:v>
      </x:c>
      <x:c r="F38" s="6" t="str">
        <x:v>계산값·영수증 최종 선택 확인</x:v>
      </x:c>
      <x:c r="G38" s="13" t="n">
        <x:v>1.5</x:v>
      </x:c>
      <x:c r="H38" s="6" t="str">
        <x:v>A12</x:v>
      </x:c>
      <x:c r="I38" s="6" t="str">
        <x:v>계산·기록 검산표</x:v>
      </x:c>
      <x:c r="J38" s="6" t="str">
        <x:v>금리 +1%p 연30만원, 거부도 기록 생성</x:v>
      </x:c>
      <x:c r="K38" s="14" t="str">
        <x:v>미착수</x:v>
      </x:c>
      <x:c r="L38" s="13"/>
    </x:row>
    <x:row r="39" ht="49" customHeight="1">
      <x:c r="A39" s="6" t="str">
        <x:v>C08</x:v>
      </x:c>
      <x:c r="B39" s="15" t="n">
        <x:v>46280</x:v>
      </x:c>
      <x:c r="C39" s="16" t="str">
        <x:v>C</x:v>
      </x:c>
      <x:c r="D39" s="16" t="str">
        <x:v>기본</x:v>
      </x:c>
      <x:c r="E39" s="6" t="str">
        <x:v>시험 준비</x:v>
      </x:c>
      <x:c r="F39" s="6" t="str">
        <x:v>수용 시험 12개·사용자 진행표 작성</x:v>
      </x:c>
      <x:c r="G39" s="13" t="n">
        <x:v>1</x:v>
      </x:c>
      <x:c r="H39" s="6" t="str">
        <x:v>C06, C07</x:v>
      </x:c>
      <x:c r="I39" s="6" t="str">
        <x:v>테스트표12행</x:v>
      </x:c>
      <x:c r="J39" s="6" t="str">
        <x:v>정답·오답·재오답·거부·체인변경 포함</x:v>
      </x:c>
      <x:c r="K39" s="14" t="str">
        <x:v>미착수</x:v>
      </x:c>
      <x:c r="L39" s="13"/>
    </x:row>
    <x:row r="40" ht="49" customHeight="1">
      <x:c r="A40" s="6" t="str">
        <x:v>D06</x:v>
      </x:c>
      <x:c r="B40" s="15" t="n">
        <x:v>46280</x:v>
      </x:c>
      <x:c r="C40" s="16" t="str">
        <x:v>D</x:v>
      </x:c>
      <x:c r="D40" s="16" t="str">
        <x:v>기본</x:v>
      </x:c>
      <x:c r="E40" s="6" t="str">
        <x:v>영상</x:v>
      </x:c>
      <x:c r="F40" s="6" t="str">
        <x:v>1차 촬영·거래 조회 증빙 확보</x:v>
      </x:c>
      <x:c r="G40" s="13" t="n">
        <x:v>3</x:v>
      </x:c>
      <x:c r="H40" s="6" t="str">
        <x:v>A12, A13, D04</x:v>
      </x:c>
      <x:c r="I40" s="6" t="str">
        <x:v>원본 영상·실제 체인 조회 영상</x:v>
      </x:c>
      <x:c r="J40" s="6" t="str">
        <x:v>동일 영수증 키·해시가 장면 간 일치</x:v>
      </x:c>
      <x:c r="K40" s="14" t="str">
        <x:v>미착수</x:v>
      </x:c>
      <x:c r="L40" s="13"/>
    </x:row>
    <x:row r="41" ht="49" customHeight="1">
      <x:c r="A41" s="6" t="str">
        <x:v>A14</x:v>
      </x:c>
      <x:c r="B41" s="15" t="n">
        <x:v>46281</x:v>
      </x:c>
      <x:c r="C41" s="16" t="str">
        <x:v>A</x:v>
      </x:c>
      <x:c r="D41" s="16" t="str">
        <x:v>기본</x:v>
      </x:c>
      <x:c r="E41" s="6" t="str">
        <x:v>블록체인</x:v>
      </x:c>
      <x:c r="F41" s="6" t="str">
        <x:v>체인 원본/변경본·미등록 상태 확인</x:v>
      </x:c>
      <x:c r="G41" s="13" t="n">
        <x:v>1</x:v>
      </x:c>
      <x:c r="H41" s="6" t="str">
        <x:v>A13</x:v>
      </x:c>
      <x:c r="I41" s="6" t="str">
        <x:v>체인 대조 결과</x:v>
      </x:c>
      <x:c r="J41" s="6" t="str">
        <x:v>변경본 불일치, 새 미등록 영수증에 옛 링크 금지</x:v>
      </x:c>
      <x:c r="K41" s="14" t="str">
        <x:v>미착수</x:v>
      </x:c>
      <x:c r="L41" s="13"/>
    </x:row>
    <x:row r="42" ht="49" customHeight="1">
      <x:c r="A42" s="6" t="str">
        <x:v>A15</x:v>
      </x:c>
      <x:c r="B42" s="15" t="n">
        <x:v>46281</x:v>
      </x:c>
      <x:c r="C42" s="16" t="str">
        <x:v>A</x:v>
      </x:c>
      <x:c r="D42" s="16" t="str">
        <x:v>기본</x:v>
      </x:c>
      <x:c r="E42" s="6" t="str">
        <x:v>통합 점검</x:v>
      </x:c>
      <x:c r="F42" s="6" t="str">
        <x:v>수치·채점·중복 클릭·재시작 시험</x:v>
      </x:c>
      <x:c r="G42" s="13" t="n">
        <x:v>3</x:v>
      </x:c>
      <x:c r="H42" s="6" t="str">
        <x:v>A12, A13, C09</x:v>
      </x:c>
      <x:c r="I42" s="6" t="str">
        <x:v>중요 결함 수정</x:v>
      </x:c>
      <x:c r="J42" s="6" t="str">
        <x:v>두 체험 완주, 계산·영수증·대조 시험 통과</x:v>
      </x:c>
      <x:c r="K42" s="14" t="str">
        <x:v>미착수</x:v>
      </x:c>
      <x:c r="L42" s="13"/>
    </x:row>
    <x:row r="43" ht="49" customHeight="1">
      <x:c r="A43" s="6" t="str">
        <x:v>AR1</x:v>
      </x:c>
      <x:c r="B43" s="15" t="n">
        <x:v>46281</x:v>
      </x:c>
      <x:c r="C43" s="16" t="str">
        <x:v>A</x:v>
      </x:c>
      <x:c r="D43" s="16" t="str">
        <x:v>예비</x:v>
      </x:c>
      <x:c r="E43" s="6" t="str">
        <x:v>예비</x:v>
      </x:c>
      <x:c r="F43" s="6" t="str">
        <x:v>오류 수정 여유</x:v>
      </x:c>
      <x:c r="G43" s="13" t="n">
        <x:v>2</x:v>
      </x:c>
      <x:c r="H43" s="6" t="str">
        <x:v>필요 시</x:v>
      </x:c>
      <x:c r="I43" s="6" t="str">
        <x:v>수정 또는 미사용 시간</x:v>
      </x:c>
      <x:c r="J43" s="6" t="str">
        <x:v>새 기능에 선배정하지 않음</x:v>
      </x:c>
      <x:c r="K43" s="14" t="str">
        <x:v>미착수</x:v>
      </x:c>
      <x:c r="L43" s="13"/>
    </x:row>
    <x:row r="44" ht="49" customHeight="1">
      <x:c r="A44" s="6" t="str">
        <x:v>B08</x:v>
      </x:c>
      <x:c r="B44" s="15" t="n">
        <x:v>46281</x:v>
      </x:c>
      <x:c r="C44" s="16" t="str">
        <x:v>B</x:v>
      </x:c>
      <x:c r="D44" s="16" t="str">
        <x:v>기본</x:v>
      </x:c>
      <x:c r="E44" s="6" t="str">
        <x:v>사용자 점검</x:v>
      </x:c>
      <x:c r="F44" s="6" t="str">
        <x:v>거부·미등록·새로고침 경로 확인</x:v>
      </x:c>
      <x:c r="G44" s="13" t="n">
        <x:v>1.5</x:v>
      </x:c>
      <x:c r="H44" s="6" t="str">
        <x:v>A15</x:v>
      </x:c>
      <x:c r="I44" s="6" t="str">
        <x:v>결함 목록</x:v>
      </x:c>
      <x:c r="J44" s="6" t="str">
        <x:v>기대 결과·실제 결과·재현 순서 기록</x:v>
      </x:c>
      <x:c r="K44" s="14" t="str">
        <x:v>미착수</x:v>
      </x:c>
      <x:c r="L44" s="13"/>
    </x:row>
    <x:row r="45" ht="49" customHeight="1">
      <x:c r="A45" s="6" t="str">
        <x:v>C09</x:v>
      </x:c>
      <x:c r="B45" s="15" t="n">
        <x:v>46281</x:v>
      </x:c>
      <x:c r="C45" s="16" t="str">
        <x:v>C</x:v>
      </x:c>
      <x:c r="D45" s="16" t="str">
        <x:v>기본</x:v>
      </x:c>
      <x:c r="E45" s="6" t="str">
        <x:v>사용자 점검</x:v>
      </x:c>
      <x:c r="F45" s="6" t="str">
        <x:v>초보 사용자 3명 관찰·재시험</x:v>
      </x:c>
      <x:c r="G45" s="13" t="n">
        <x:v>2.5</x:v>
      </x:c>
      <x:c r="H45" s="6" t="str">
        <x:v>C08, A13</x:v>
      </x:c>
      <x:c r="I45" s="6" t="str">
        <x:v>관찰 기록·재시험 결과</x:v>
      </x:c>
      <x:c r="J45" s="6" t="str">
        <x:v>멈춘 위치·설명 소요시간 기록, 효과 과장 금지</x:v>
      </x:c>
      <x:c r="K45" s="14" t="str">
        <x:v>미착수</x:v>
      </x:c>
      <x:c r="L45" s="13"/>
    </x:row>
    <x:row r="46" ht="49" customHeight="1">
      <x:c r="A46" s="6" t="str">
        <x:v>D07</x:v>
      </x:c>
      <x:c r="B46" s="15" t="n">
        <x:v>46281</x:v>
      </x:c>
      <x:c r="C46" s="16" t="str">
        <x:v>D</x:v>
      </x:c>
      <x:c r="D46" s="16" t="str">
        <x:v>기본</x:v>
      </x:c>
      <x:c r="E46" s="6" t="str">
        <x:v>영상</x:v>
      </x:c>
      <x:c r="F46" s="6" t="str">
        <x:v>컷 편집·자막·음성·누락 보완</x:v>
      </x:c>
      <x:c r="G46" s="13" t="n">
        <x:v>2</x:v>
      </x:c>
      <x:c r="H46" s="6" t="str">
        <x:v>D06</x:v>
      </x:c>
      <x:c r="I46" s="6" t="str">
        <x:v>영상 초벌본</x:v>
      </x:c>
      <x:c r="J46" s="6" t="str">
        <x:v>원문·오답·계산·해시 대조 장면 포함</x:v>
      </x:c>
      <x:c r="K46" s="14" t="str">
        <x:v>미착수</x:v>
      </x:c>
      <x:c r="L46" s="13"/>
    </x:row>
    <x:row r="47" ht="49" customHeight="1">
      <x:c r="A47" s="6" t="str">
        <x:v>D08</x:v>
      </x:c>
      <x:c r="B47" s="15" t="n">
        <x:v>46281</x:v>
      </x:c>
      <x:c r="C47" s="16" t="str">
        <x:v>D</x:v>
      </x:c>
      <x:c r="D47" s="16" t="str">
        <x:v>기본</x:v>
      </x:c>
      <x:c r="E47" s="6" t="str">
        <x:v>기획서</x:v>
      </x:c>
      <x:c r="F47" s="6" t="str">
        <x:v>시험 관찰·한계·확장계획 반영</x:v>
      </x:c>
      <x:c r="G47" s="13" t="n">
        <x:v>1</x:v>
      </x:c>
      <x:c r="H47" s="6" t="str">
        <x:v>C09, D05</x:v>
      </x:c>
      <x:c r="I47" s="6" t="str">
        <x:v>기획서 검토본</x:v>
      </x:c>
      <x:c r="J47" s="6" t="str">
        <x:v>실측과 예상효과 구분</x:v>
      </x:c>
      <x:c r="K47" s="14" t="str">
        <x:v>미착수</x:v>
      </x:c>
      <x:c r="L47" s="13"/>
    </x:row>
    <x:row r="48" ht="49" customHeight="1">
      <x:c r="A48" s="6" t="str">
        <x:v>A16</x:v>
      </x:c>
      <x:c r="B48" s="15" t="n">
        <x:v>46282</x:v>
      </x:c>
      <x:c r="C48" s="16" t="str">
        <x:v>A</x:v>
      </x:c>
      <x:c r="D48" s="16" t="str">
        <x:v>기본</x:v>
      </x:c>
      <x:c r="E48" s="6" t="str">
        <x:v>통합 점검</x:v>
      </x:c>
      <x:c r="F48" s="6" t="str">
        <x:v>최종 수정 영향 확인</x:v>
      </x:c>
      <x:c r="G48" s="13" t="n">
        <x:v>1</x:v>
      </x:c>
      <x:c r="H48" s="6" t="str">
        <x:v>A14, A15</x:v>
      </x:c>
      <x:c r="I48" s="6" t="str">
        <x:v>최종 실행 점검</x:v>
      </x:c>
      <x:c r="J48" s="6" t="str">
        <x:v>촬영본과 현재 데이터·코드 버전 일치</x:v>
      </x:c>
      <x:c r="K48" s="14" t="str">
        <x:v>미착수</x:v>
      </x:c>
      <x:c r="L48" s="13"/>
    </x:row>
    <x:row r="49" ht="49" customHeight="1">
      <x:c r="A49" s="6" t="str">
        <x:v>A17</x:v>
      </x:c>
      <x:c r="B49" s="15" t="n">
        <x:v>46282</x:v>
      </x:c>
      <x:c r="C49" s="16" t="str">
        <x:v>A</x:v>
      </x:c>
      <x:c r="D49" s="16" t="str">
        <x:v>기본</x:v>
      </x:c>
      <x:c r="E49" s="6" t="str">
        <x:v>촬영·인수</x:v>
      </x:c>
      <x:c r="F49" s="6" t="str">
        <x:v>녹화 기술 지원·실행 안내·백업</x:v>
      </x:c>
      <x:c r="G49" s="13" t="n">
        <x:v>3</x:v>
      </x:c>
      <x:c r="H49" s="6" t="str">
        <x:v>A16, D10</x:v>
      </x:c>
      <x:c r="I49" s="6" t="str">
        <x:v>재현 안내·촬영 환경</x:v>
      </x:c>
      <x:c r="J49" s="6" t="str">
        <x:v>다른 팀원이 안내대로 실행, 개인키 없는 백업</x:v>
      </x:c>
      <x:c r="K49" s="14" t="str">
        <x:v>미착수</x:v>
      </x:c>
      <x:c r="L49" s="13"/>
    </x:row>
    <x:row r="50" ht="49" customHeight="1">
      <x:c r="A50" s="6" t="str">
        <x:v>AR2</x:v>
      </x:c>
      <x:c r="B50" s="15" t="n">
        <x:v>46282</x:v>
      </x:c>
      <x:c r="C50" s="16" t="str">
        <x:v>A</x:v>
      </x:c>
      <x:c r="D50" s="16" t="str">
        <x:v>예비</x:v>
      </x:c>
      <x:c r="E50" s="6" t="str">
        <x:v>예비</x:v>
      </x:c>
      <x:c r="F50" s="6" t="str">
        <x:v>재촬영·마감 결함 대응 여유</x:v>
      </x:c>
      <x:c r="G50" s="13" t="n">
        <x:v>2</x:v>
      </x:c>
      <x:c r="H50" s="6" t="str">
        <x:v>필요 시</x:v>
      </x:c>
      <x:c r="I50" s="6" t="str">
        <x:v>수정 또는 미사용 시간</x:v>
      </x:c>
      <x:c r="J50" s="6" t="str">
        <x:v>제출물 고정 전 중요 오류만 대응</x:v>
      </x:c>
      <x:c r="K50" s="14" t="str">
        <x:v>미착수</x:v>
      </x:c>
      <x:c r="L50" s="13"/>
    </x:row>
    <x:row r="51" ht="49" customHeight="1">
      <x:c r="A51" s="6" t="str">
        <x:v>B09</x:v>
      </x:c>
      <x:c r="B51" s="15" t="n">
        <x:v>46282</x:v>
      </x:c>
      <x:c r="C51" s="16" t="str">
        <x:v>B</x:v>
      </x:c>
      <x:c r="D51" s="16" t="str">
        <x:v>기본</x:v>
      </x:c>
      <x:c r="E51" s="6" t="str">
        <x:v>제출 검토</x:v>
      </x:c>
      <x:c r="F51" s="6" t="str">
        <x:v>기획서·영상 출처와 숫자 최종 대조</x:v>
      </x:c>
      <x:c r="G51" s="13" t="n">
        <x:v>1</x:v>
      </x:c>
      <x:c r="H51" s="6" t="str">
        <x:v>D11, D12</x:v>
      </x:c>
      <x:c r="I51" s="6" t="str">
        <x:v>출처·수치 검토 완료</x:v>
      </x:c>
      <x:c r="J51" s="6" t="str">
        <x:v>현재 판매금리 또는 법률 검수로 과장 없음</x:v>
      </x:c>
      <x:c r="K51" s="14" t="str">
        <x:v>미착수</x:v>
      </x:c>
      <x:c r="L51" s="13"/>
    </x:row>
    <x:row r="52" ht="49" customHeight="1">
      <x:c r="A52" s="6" t="str">
        <x:v>C10</x:v>
      </x:c>
      <x:c r="B52" s="15" t="n">
        <x:v>46282</x:v>
      </x:c>
      <x:c r="C52" s="16" t="str">
        <x:v>C</x:v>
      </x:c>
      <x:c r="D52" s="16" t="str">
        <x:v>기본</x:v>
      </x:c>
      <x:c r="E52" s="6" t="str">
        <x:v>제출 검토</x:v>
      </x:c>
      <x:c r="F52" s="6" t="str">
        <x:v>영상·기획서 표현 및 검토 내역 확인</x:v>
      </x:c>
      <x:c r="G52" s="13" t="n">
        <x:v>1.5</x:v>
      </x:c>
      <x:c r="H52" s="6" t="str">
        <x:v>D11, D12</x:v>
      </x:c>
      <x:c r="I52" s="6" t="str">
        <x:v>마지막 수정 의견</x:v>
      </x:c>
      <x:c r="J52" s="6" t="str">
        <x:v>시연 규칙을 실제 이해/법적 동의 보증으로 표현 금지</x:v>
      </x:c>
      <x:c r="K52" s="14" t="str">
        <x:v>미착수</x:v>
      </x:c>
      <x:c r="L52" s="13"/>
    </x:row>
    <x:row r="53" ht="49" customHeight="1">
      <x:c r="A53" s="6" t="str">
        <x:v>D10</x:v>
      </x:c>
      <x:c r="B53" s="15" t="n">
        <x:v>46282</x:v>
      </x:c>
      <x:c r="C53" s="16" t="str">
        <x:v>D</x:v>
      </x:c>
      <x:c r="D53" s="16" t="str">
        <x:v>기본</x:v>
      </x:c>
      <x:c r="E53" s="6" t="str">
        <x:v>제출 묶음</x:v>
      </x:c>
      <x:c r="F53" s="6" t="str">
        <x:v>재촬영 필요 장면 전달·최종 편집</x:v>
      </x:c>
      <x:c r="G53" s="13" t="n">
        <x:v>1</x:v>
      </x:c>
      <x:c r="H53" s="6" t="str">
        <x:v>D07, A16</x:v>
      </x:c>
      <x:c r="I53" s="6" t="str">
        <x:v>최종 영상 후보</x:v>
      </x:c>
      <x:c r="J53" s="6" t="str">
        <x:v>음량·자막·화면 가독성 점검</x:v>
      </x:c>
      <x:c r="K53" s="14" t="str">
        <x:v>미착수</x:v>
      </x:c>
      <x:c r="L53" s="13"/>
    </x:row>
    <x:row r="54" ht="49" customHeight="1">
      <x:c r="A54" s="6" t="str">
        <x:v>D11</x:v>
      </x:c>
      <x:c r="B54" s="15" t="n">
        <x:v>46282</x:v>
      </x:c>
      <x:c r="C54" s="16" t="str">
        <x:v>D</x:v>
      </x:c>
      <x:c r="D54" s="16" t="str">
        <x:v>기본</x:v>
      </x:c>
      <x:c r="E54" s="6" t="str">
        <x:v>제출 묶음</x:v>
      </x:c>
      <x:c r="F54" s="6" t="str">
        <x:v>기획서 PDF·영상 최종 출력</x:v>
      </x:c>
      <x:c r="G54" s="13" t="n">
        <x:v>1</x:v>
      </x:c>
      <x:c r="H54" s="6" t="str">
        <x:v>D08, D10</x:v>
      </x:c>
      <x:c r="I54" s="6" t="str">
        <x:v>PDF1개·MP4 1개</x:v>
      </x:c>
      <x:c r="J54" s="6" t="str">
        <x:v>대회 지정 규격으로 출력</x:v>
      </x:c>
      <x:c r="K54" s="14" t="str">
        <x:v>미착수</x:v>
      </x:c>
      <x:c r="L54" s="13"/>
    </x:row>
    <x:row r="55" ht="49" customHeight="1">
      <x:c r="A55" s="6" t="str">
        <x:v>D12</x:v>
      </x:c>
      <x:c r="B55" s="15" t="n">
        <x:v>46282</x:v>
      </x:c>
      <x:c r="C55" s="16" t="str">
        <x:v>D</x:v>
      </x:c>
      <x:c r="D55" s="16" t="str">
        <x:v>기본</x:v>
      </x:c>
      <x:c r="E55" s="6" t="str">
        <x:v>제출 묶음</x:v>
      </x:c>
      <x:c r="F55" s="6" t="str">
        <x:v>파일 열기·제출 사본·백업 확인</x:v>
      </x:c>
      <x:c r="G55" s="13" t="n">
        <x:v>0.5</x:v>
      </x:c>
      <x:c r="H55" s="6" t="str">
        <x:v>D11</x:v>
      </x:c>
      <x:c r="I55" s="6" t="str">
        <x:v>제출 폴더</x:v>
      </x:c>
      <x:c r="J55" s="6" t="str">
        <x:v>다른 기기에서 PDF/영상 열림, 최종본 구분</x:v>
      </x:c>
      <x:c r="K55" s="14" t="str">
        <x:v>미착수</x:v>
      </x:c>
      <x:c r="L55" s="13"/>
    </x:row>
    <x:row r="56" ht="49" customHeight="1">
      <x:c r="A56" s="6" t="str">
        <x:v>AS</x:v>
      </x:c>
      <x:c r="B56" s="15" t="n">
        <x:v>46283</x:v>
      </x:c>
      <x:c r="C56" s="16" t="str">
        <x:v>A</x:v>
      </x:c>
      <x:c r="D56" s="16" t="str">
        <x:v>제출</x:v>
      </x:c>
      <x:c r="E56" s="6" t="str">
        <x:v>제출</x:v>
      </x:c>
      <x:c r="F56" s="6" t="str">
        <x:v>실행 관련 긴급 문의 대응</x:v>
      </x:c>
      <x:c r="G56" s="13" t="n">
        <x:v>0.5</x:v>
      </x:c>
      <x:c r="H56" s="6" t="str">
        <x:v>A17</x:v>
      </x:c>
      <x:c r="I56" s="6" t="str">
        <x:v>기술 대응</x:v>
      </x:c>
      <x:c r="J56" s="6" t="str">
        <x:v>주요 개발일로 사용하지 않음</x:v>
      </x:c>
      <x:c r="K56" s="14" t="str">
        <x:v>미착수</x:v>
      </x:c>
      <x:c r="L56" s="13"/>
    </x:row>
    <x:row r="57" ht="49" customHeight="1">
      <x:c r="A57" s="6" t="str">
        <x:v>BS</x:v>
      </x:c>
      <x:c r="B57" s="15" t="n">
        <x:v>46283</x:v>
      </x:c>
      <x:c r="C57" s="16" t="str">
        <x:v>B</x:v>
      </x:c>
      <x:c r="D57" s="16" t="str">
        <x:v>제출</x:v>
      </x:c>
      <x:c r="E57" s="6" t="str">
        <x:v>제출</x:v>
      </x:c>
      <x:c r="F57" s="6" t="str">
        <x:v>최종 파일·링크 확인 지원</x:v>
      </x:c>
      <x:c r="G57" s="13" t="n">
        <x:v>0.5</x:v>
      </x:c>
      <x:c r="H57" s="6" t="str">
        <x:v>B09</x:v>
      </x:c>
      <x:c r="I57" s="6" t="str">
        <x:v>검토 지원</x:v>
      </x:c>
      <x:c r="J57" s="6" t="str">
        <x:v>D 업로드 파일명과 최종본 확인</x:v>
      </x:c>
      <x:c r="K57" s="14" t="str">
        <x:v>미착수</x:v>
      </x:c>
      <x:c r="L57" s="13"/>
    </x:row>
    <x:row r="58" ht="49" customHeight="1">
      <x:c r="A58" s="6" t="str">
        <x:v>CS</x:v>
      </x:c>
      <x:c r="B58" s="15" t="n">
        <x:v>46283</x:v>
      </x:c>
      <x:c r="C58" s="16" t="str">
        <x:v>C</x:v>
      </x:c>
      <x:c r="D58" s="16" t="str">
        <x:v>제출</x:v>
      </x:c>
      <x:c r="E58" s="6" t="str">
        <x:v>제출</x:v>
      </x:c>
      <x:c r="F58" s="6" t="str">
        <x:v>제출본 문구 확인 지원</x:v>
      </x:c>
      <x:c r="G58" s="13" t="n">
        <x:v>0.5</x:v>
      </x:c>
      <x:c r="H58" s="6" t="str">
        <x:v>C10</x:v>
      </x:c>
      <x:c r="I58" s="6" t="str">
        <x:v>검토 지원</x:v>
      </x:c>
      <x:c r="J58" s="6" t="str">
        <x:v>수정 시 기획서·영상 표현 동기화</x:v>
      </x:c>
      <x:c r="K58" s="14" t="str">
        <x:v>미착수</x:v>
      </x:c>
      <x:c r="L58" s="13"/>
    </x:row>
    <x:row r="59" ht="49" customHeight="1">
      <x:c r="A59" s="6" t="str">
        <x:v>DS</x:v>
      </x:c>
      <x:c r="B59" s="15" t="n">
        <x:v>46283</x:v>
      </x:c>
      <x:c r="C59" s="16" t="str">
        <x:v>D</x:v>
      </x:c>
      <x:c r="D59" s="16" t="str">
        <x:v>제출</x:v>
      </x:c>
      <x:c r="E59" s="6" t="str">
        <x:v>제출</x:v>
      </x:c>
      <x:c r="F59" s="6" t="str">
        <x:v>마감 전 업로드·접수증 보관</x:v>
      </x:c>
      <x:c r="G59" s="13" t="n">
        <x:v>1</x:v>
      </x:c>
      <x:c r="H59" s="6" t="str">
        <x:v>D12</x:v>
      </x:c>
      <x:c r="I59" s="6" t="str">
        <x:v>제출 완료 증빙</x:v>
      </x:c>
      <x:c r="J59" s="6" t="str">
        <x:v>공식 마감시각 이전 제출, 접수번호 저장</x:v>
      </x:c>
      <x:c r="K59" s="14" t="str">
        <x:v>미착수</x:v>
      </x:c>
      <x:c r="L59" s="13"/>
    </x:row>
  </x:sheetData>
  <x:conditionalFormatting sqref="K7:K59">
    <x:cfRule type="containsText" dxfId="0" priority="1" operator="containsText" text="지연"/>
    <x:cfRule type="containsText" dxfId="1" priority="2" operator="containsText" text="완료"/>
  </x:conditionalFormatting>
  <x:dataValidations count="3">
    <x:dataValidation type="list" sqref="K7:K59">
      <x:formula1>"미착수,진행중,검토중,완료,지연,보류"</x:formula1>
    </x:dataValidation>
    <x:dataValidation type="list" sqref="C7:C59">
      <x:formula1>"A,B,C,D"</x:formula1>
    </x:dataValidation>
    <x:dataValidation type="list" sqref="D7:D59">
      <x:formula1>"기본,예비,제출"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e000cc62a42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25" hidden="0" customWidth="1"/>
    <x:col min="4" max="4" width="24" hidden="0" customWidth="1"/>
    <x:col min="5" max="5" width="29" hidden="0" customWidth="1"/>
    <x:col min="6" max="6" width="34" hidden="0" customWidth="1"/>
    <x:col min="7" max="7" width="19" hidden="0" customWidth="1"/>
    <x:col min="8" max="8" width="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데이터 확보와 필요한 수량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자료 확인일 2026-09-11. 두 독립 체험으로 사용합니다. 공식 개념과 가상 계산조건을 구분하세요.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2" t="str">
        <x:v>ID</x:v>
      </x:c>
      <x:c r="B6" s="12" t="str">
        <x:v>자료</x:v>
      </x:c>
      <x:c r="C6" s="12" t="str">
        <x:v>업무·용도</x:v>
      </x:c>
      <x:c r="D6" s="12" t="str">
        <x:v>날짜·최신성</x:v>
      </x:c>
      <x:c r="E6" s="12" t="str">
        <x:v>사용 범위</x:v>
      </x:c>
      <x:c r="F6" s="12" t="str">
        <x:v>확보·가공 방법</x:v>
      </x:c>
      <x:c r="G6" s="12" t="str">
        <x:v>담당</x:v>
      </x:c>
      <x:c r="H6" s="12" t="str">
        <x:v>공식 원문 / 참고 주소</x:v>
      </x:c>
    </x:row>
    <x:row r="7" ht="60" customHeight="1">
      <x:c r="A7" s="6" t="str">
        <x:v>SRC01</x:v>
      </x:c>
      <x:c r="B7" s="6" t="str">
        <x:v>iM뱅크 개인(신용)정보 수집·이용 동의서</x:v>
      </x:c>
      <x:c r="C7" s="6" t="str">
        <x:v>금융민원 접수</x:v>
      </x:c>
      <x:c r="D7" s="6" t="str">
        <x:v>개정일 미표시·확인일 기록</x:v>
      </x:c>
      <x:c r="E7" s="6" t="str">
        <x:v>목적·항목·기간·거부 영향</x:v>
      </x:c>
      <x:c r="F7" s="6" t="str">
        <x:v>공식 화면 인쇄 저장·본문 복사·육안 대조</x:v>
      </x:c>
      <x:c r="G7" s="6" t="str">
        <x:v>B</x:v>
      </x:c>
      <x:c r="H7" s="6" t="str">
        <x:v>https://www.imbank.co.kr/hlp_ebz_sm_10210_cstl.act</x:v>
      </x:c>
    </x:row>
    <x:row r="8" ht="60" customHeight="1">
      <x:c r="A8" s="6" t="str">
        <x:v>SRC02</x:v>
      </x:c>
      <x:c r="B8" s="6" t="str">
        <x:v>iM뱅크 주택담보대출 상품설명서</x:v>
      </x:c>
      <x:c r="C8" s="6" t="str">
        <x:v>금리·상환 개념 설명</x:v>
      </x:c>
      <x:c r="D8" s="6" t="str">
        <x:v>2025.4 인쇄·최신 적용 여부 미확인</x:v>
      </x:c>
      <x:c r="E8" s="6" t="str">
        <x:v>PDF 3쪽 금리, 4쪽 상환</x:v>
      </x:c>
      <x:c r="F8" s="6" t="str">
        <x:v>PDF 보관·필요 쪽 추출·페이지 대조</x:v>
      </x:c>
      <x:c r="G8" s="6" t="str">
        <x:v>B</x:v>
      </x:c>
      <x:c r="H8" s="6" t="str">
        <x:v>https://www.imbank.co.kr/upload/newbbs/FNM001/202504011728199355052040.pdf</x:v>
      </x:c>
    </x:row>
    <x:row r="9" ht="60" customHeight="1">
      <x:c r="A9" s="6" t="str">
        <x:v>SIM01</x:v>
      </x:c>
      <x:c r="B9" s="6" t="str">
        <x:v>가상 대출 계산조건</x:v>
      </x:c>
      <x:c r="C9" s="6" t="str">
        <x:v>학습용 이자 변화 비교</x:v>
      </x:c>
      <x:c r="D9" s="6" t="str">
        <x:v>팀 작성 예시</x:v>
      </x:c>
      <x:c r="E9" s="6" t="str">
        <x:v>3천만원, 4.2% → 5.2%</x:v>
      </x:c>
      <x:c r="F9" s="6" t="str">
        <x:v>원금 일정·단순 연이자, 연30만원 차이</x:v>
      </x:c>
      <x:c r="G9" s="6" t="str">
        <x:v>C 검산</x:v>
      </x:c>
      <x:c r="H9" s="6" t="str">
        <x:v>공식 판매조건 아님. 원문 개념과 별도 표시</x:v>
      </x:c>
    </x:row>
    <x:row r="10" ht="60" customHeight="1">
      <x:c r="A10" s="6" t="str">
        <x:v>REF01</x:v>
      </x:c>
      <x:c r="B10" s="6" t="str">
        <x:v>Sepolia·Etherscan</x:v>
      </x:c>
      <x:c r="C10" s="6" t="str">
        <x:v>공개 테스트넷 기록 조회</x:v>
      </x:c>
      <x:c r="D10" s="6" t="str">
        <x:v>개발 시작 시 연결 상태 확인</x:v>
      </x:c>
      <x:c r="E10" s="6" t="str">
        <x:v>계약1개·최종 영수증2건</x:v>
      </x:c>
      <x:c r="F10" s="6" t="str">
        <x:v>거래 성공 확인 후 체인 해시 읽어 대조</x:v>
      </x:c>
      <x:c r="G10" s="6" t="str">
        <x:v>A</x:v>
      </x:c>
      <x:c r="H10" s="6" t="str">
        <x:v>https://ethereum.org/developers/docs/networks/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3" t="str">
        <x:v>필수 산출물</x:v>
      </x:c>
      <x:c r="B12" s="2"/>
      <x:c r="C12" s="2"/>
      <x:c r="D12" s="2"/>
      <x:c r="E12" s="2"/>
      <x:c r="F12" s="2"/>
      <x:c r="G12" s="2"/>
      <x:c r="H12" s="2"/>
    </x:row>
    <x:row r="13" ht="34" customHeight="1">
      <x:c r="A13" s="12" t="str">
        <x:v>ID</x:v>
      </x:c>
      <x:c r="B13" s="12" t="str">
        <x:v>산출물</x:v>
      </x:c>
      <x:c r="C13" s="12" t="str">
        <x:v>수량</x:v>
      </x:c>
      <x:c r="D13" s="12" t="str">
        <x:v>단위</x:v>
      </x:c>
      <x:c r="E13" s="12" t="str">
        <x:v>담당</x:v>
      </x:c>
      <x:c r="F13" s="12" t="str">
        <x:v>목표일</x:v>
      </x:c>
      <x:c r="G13" s="12" t="str">
        <x:v>상태</x:v>
      </x:c>
      <x:c r="H13" s="12" t="str">
        <x:v>완료 기준</x:v>
      </x:c>
    </x:row>
    <x:row r="14" ht="43" customHeight="1">
      <x:c r="A14" s="6" t="str">
        <x:v>O01</x:v>
      </x:c>
      <x:c r="B14" s="6" t="str">
        <x:v>공식 원문</x:v>
      </x:c>
      <x:c r="C14" s="6" t="n">
        <x:v>2</x:v>
      </x:c>
      <x:c r="D14" s="6" t="str">
        <x:v>건</x:v>
      </x:c>
      <x:c r="E14" s="6" t="str">
        <x:v>B</x:v>
      </x:c>
      <x:c r="F14" s="15" t="n">
        <x:v>46276</x:v>
      </x:c>
      <x:c r="G14" s="14" t="str">
        <x:v>미착수</x:v>
      </x:c>
      <x:c r="H14" s="6" t="str">
        <x:v>동의서1·설명서1. 근거 부족 시 참고자료1~2개 추가</x:v>
      </x:c>
    </x:row>
    <x:row r="15" ht="43" customHeight="1">
      <x:c r="A15" s="6" t="str">
        <x:v>O02</x:v>
      </x:c>
      <x:c r="B15" s="6" t="str">
        <x:v>출처표</x:v>
      </x:c>
      <x:c r="C15" s="6" t="n">
        <x:v>1</x:v>
      </x:c>
      <x:c r="D15" s="6" t="str">
        <x:v>개</x:v>
      </x:c>
      <x:c r="E15" s="6" t="str">
        <x:v>B</x:v>
      </x:c>
      <x:c r="F15" s="15" t="n">
        <x:v>46276</x:v>
      </x:c>
      <x:c r="G15" s="14" t="str">
        <x:v>미착수</x:v>
      </x:c>
      <x:c r="H15" s="6" t="str">
        <x:v>문서별 제목·용도·URL·확인일·버전·사용 위치</x:v>
      </x:c>
    </x:row>
    <x:row r="16" ht="43" customHeight="1">
      <x:c r="A16" s="6" t="str">
        <x:v>O03</x:v>
      </x:c>
      <x:c r="B16" s="6" t="str">
        <x:v>정리된 텍스트</x:v>
      </x:c>
      <x:c r="C16" s="6" t="n">
        <x:v>2</x:v>
      </x:c>
      <x:c r="D16" s="6" t="str">
        <x:v>개</x:v>
      </x:c>
      <x:c r="E16" s="6" t="str">
        <x:v>B</x:v>
      </x:c>
      <x:c r="F16" s="15" t="n">
        <x:v>46277</x:v>
      </x:c>
      <x:c r="G16" s="14" t="str">
        <x:v>미착수</x:v>
      </x:c>
      <x:c r="H16" s="6" t="str">
        <x:v>원문과 대조한 UTF-8 텍스트</x:v>
      </x:c>
    </x:row>
    <x:row r="17" ht="43" customHeight="1">
      <x:c r="A17" s="6" t="str">
        <x:v>O04</x:v>
      </x:c>
      <x:c r="B17" s="6" t="str">
        <x:v>AI 초안 출력</x:v>
      </x:c>
      <x:c r="C17" s="6" t="n">
        <x:v>2</x:v>
      </x:c>
      <x:c r="D17" s="6" t="str">
        <x:v>개</x:v>
      </x:c>
      <x:c r="E17" s="6" t="str">
        <x:v>A·C</x:v>
      </x:c>
      <x:c r="F17" s="15" t="n">
        <x:v>46277</x:v>
      </x:c>
      <x:c r="G17" s="14" t="str">
        <x:v>미착수</x:v>
      </x:c>
      <x:c r="H17" s="6" t="str">
        <x:v>실제 API 출력·모델/실행일 기록, 검토 전 표시</x:v>
      </x:c>
    </x:row>
    <x:row r="18" ht="43" customHeight="1">
      <x:c r="A18" s="6" t="str">
        <x:v>O05</x:v>
      </x:c>
      <x:c r="B18" s="6" t="str">
        <x:v>핵심 개념·원문 근거</x:v>
      </x:c>
      <x:c r="C18" s="6" t="n">
        <x:v>6</x:v>
      </x:c>
      <x:c r="D18" s="6" t="str">
        <x:v>묶음</x:v>
      </x:c>
      <x:c r="E18" s="6" t="str">
        <x:v>B·C</x:v>
      </x:c>
      <x:c r="F18" s="15" t="n">
        <x:v>46278</x:v>
      </x:c>
      <x:c r="G18" s="14" t="str">
        <x:v>미착수</x:v>
      </x:c>
      <x:c r="H18" s="6" t="str">
        <x:v>개인정보3·대출3, 근거 쪽/항목 연결</x:v>
      </x:c>
    </x:row>
    <x:row r="19" ht="43" customHeight="1">
      <x:c r="A19" s="6" t="str">
        <x:v>O06</x:v>
      </x:c>
      <x:c r="B19" s="6" t="str">
        <x:v>기본·쉬운·재설명</x:v>
      </x:c>
      <x:c r="C19" s="6" t="n">
        <x:v>18</x:v>
      </x:c>
      <x:c r="D19" s="6" t="str">
        <x:v>개</x:v>
      </x:c>
      <x:c r="E19" s="6" t="str">
        <x:v>C 작성·B 검토</x:v>
      </x:c>
      <x:c r="F19" s="15" t="n">
        <x:v>46278</x:v>
      </x:c>
      <x:c r="G19" s="14" t="str">
        <x:v>미착수</x:v>
      </x:c>
      <x:c r="H19" s="6" t="str">
        <x:v>개념6개 × 설명3종, 검토자·검토일</x:v>
      </x:c>
    </x:row>
    <x:row r="20" ht="43" customHeight="1">
      <x:c r="A20" s="6" t="str">
        <x:v>O07</x:v>
      </x:c>
      <x:c r="B20" s="6" t="str">
        <x:v>이해 확인 문항</x:v>
      </x:c>
      <x:c r="C20" s="6" t="n">
        <x:v>12</x:v>
      </x:c>
      <x:c r="D20" s="6" t="str">
        <x:v>개</x:v>
      </x:c>
      <x:c r="E20" s="6" t="str">
        <x:v>C 작성·B 검토</x:v>
      </x:c>
      <x:c r="F20" s="15" t="n">
        <x:v>46278</x:v>
      </x:c>
      <x:c r="G20" s="14" t="str">
        <x:v>미착수</x:v>
      </x:c>
      <x:c r="H20" s="6" t="str">
        <x:v>기본6·재확인6. 질문·보기·정답·근거</x:v>
      </x:c>
    </x:row>
    <x:row r="21" ht="43" customHeight="1">
      <x:c r="A21" s="6" t="str">
        <x:v>O08</x:v>
      </x:c>
      <x:c r="B21" s="6" t="str">
        <x:v>공통 화면</x:v>
      </x:c>
      <x:c r="C21" s="6" t="n">
        <x:v>6</x:v>
      </x:c>
      <x:c r="D21" s="6" t="str">
        <x:v>종</x:v>
      </x:c>
      <x:c r="E21" s="6" t="str">
        <x:v>A</x:v>
      </x:c>
      <x:c r="F21" s="15" t="n">
        <x:v>46279</x:v>
      </x:c>
      <x:c r="G21" s="14" t="str">
        <x:v>미착수</x:v>
      </x:c>
      <x:c r="H21" s="6" t="str">
        <x:v>선택/문서/설명/질문·재설명/선택/영수증. 재사용</x:v>
      </x:c>
    </x:row>
    <x:row r="22" ht="43" customHeight="1">
      <x:c r="A22" s="6" t="str">
        <x:v>O09</x:v>
      </x:c>
      <x:c r="B22" s="6" t="str">
        <x:v>이자 계산</x:v>
      </x:c>
      <x:c r="C22" s="6" t="n">
        <x:v>1</x:v>
      </x:c>
      <x:c r="D22" s="6" t="str">
        <x:v>종</x:v>
      </x:c>
      <x:c r="E22" s="6" t="str">
        <x:v>A·C</x:v>
      </x:c>
      <x:c r="F22" s="15" t="n">
        <x:v>46280</x:v>
      </x:c>
      <x:c r="G22" s="14" t="str">
        <x:v>미착수</x:v>
      </x:c>
      <x:c r="H22" s="6" t="str">
        <x:v>가상 금리 +1%p, 단순 연이자 30만원 증가</x:v>
      </x:c>
    </x:row>
    <x:row r="23" ht="43" customHeight="1">
      <x:c r="A23" s="6" t="str">
        <x:v>O10</x:v>
      </x:c>
      <x:c r="B23" s="6" t="str">
        <x:v>최종 시연 영수증</x:v>
      </x:c>
      <x:c r="C23" s="6" t="n">
        <x:v>2</x:v>
      </x:c>
      <x:c r="D23" s="6" t="str">
        <x:v>건</x:v>
      </x:c>
      <x:c r="E23" s="6" t="str">
        <x:v>A</x:v>
      </x:c>
      <x:c r="F23" s="15" t="n">
        <x:v>46280</x:v>
      </x:c>
      <x:c r="G23" s="14" t="str">
        <x:v>미착수</x:v>
      </x:c>
      <x:c r="H23" s="6" t="str">
        <x:v>가상 선택 기록·설명/문서/문항 버전·본문 해시</x:v>
      </x:c>
    </x:row>
    <x:row r="24" ht="43" customHeight="1">
      <x:c r="A24" s="6" t="str">
        <x:v>O11</x:v>
      </x:c>
      <x:c r="B24" s="6" t="str">
        <x:v>Sepolia 계약 배포</x:v>
      </x:c>
      <x:c r="C24" s="6" t="n">
        <x:v>1</x:v>
      </x:c>
      <x:c r="D24" s="6" t="str">
        <x:v>개</x:v>
      </x:c>
      <x:c r="E24" s="6" t="str">
        <x:v>A</x:v>
      </x:c>
      <x:c r="F24" s="15" t="n">
        <x:v>46278</x:v>
      </x:c>
      <x:c r="G24" s="14" t="str">
        <x:v>미착수</x:v>
      </x:c>
      <x:c r="H24" s="6" t="str">
        <x:v>주소·네트워크·배포 거래 확인</x:v>
      </x:c>
    </x:row>
    <x:row r="25" ht="43" customHeight="1">
      <x:c r="A25" s="6" t="str">
        <x:v>O12</x:v>
      </x:c>
      <x:c r="B25" s="6" t="str">
        <x:v>최종 영수증 체인 등록</x:v>
      </x:c>
      <x:c r="C25" s="6" t="n">
        <x:v>2</x:v>
      </x:c>
      <x:c r="D25" s="6" t="str">
        <x:v>건</x:v>
      </x:c>
      <x:c r="E25" s="6" t="str">
        <x:v>A</x:v>
      </x:c>
      <x:c r="F25" s="15" t="n">
        <x:v>46280</x:v>
      </x:c>
      <x:c r="G25" s="14" t="str">
        <x:v>미착수</x:v>
      </x:c>
      <x:c r="H25" s="6" t="str">
        <x:v>서로 다른 영수증2건, 성공 거래·대조 결과</x:v>
      </x:c>
    </x:row>
    <x:row r="26" ht="43" customHeight="1">
      <x:c r="A26" s="6" t="str">
        <x:v>O13</x:v>
      </x:c>
      <x:c r="B26" s="6" t="str">
        <x:v>수용 시험 목록</x:v>
      </x:c>
      <x:c r="C26" s="6" t="n">
        <x:v>12</x:v>
      </x:c>
      <x:c r="D26" s="6" t="str">
        <x:v>개</x:v>
      </x:c>
      <x:c r="E26" s="6" t="str">
        <x:v>C·A</x:v>
      </x:c>
      <x:c r="F26" s="15" t="n">
        <x:v>46281</x:v>
      </x:c>
      <x:c r="G26" s="14" t="str">
        <x:v>미착수</x:v>
      </x:c>
      <x:c r="H26" s="6" t="str">
        <x:v>핵심 정상/오류/거부/변경본 시험 기대결과 포함</x:v>
      </x:c>
    </x:row>
    <x:row r="27" ht="43" customHeight="1">
      <x:c r="A27" s="6" t="str">
        <x:v>O14</x:v>
      </x:c>
      <x:c r="B27" s="6" t="str">
        <x:v>초보 사용자 관찰</x:v>
      </x:c>
      <x:c r="C27" s="6" t="n">
        <x:v>3</x:v>
      </x:c>
      <x:c r="D27" s="6" t="str">
        <x:v>명</x:v>
      </x:c>
      <x:c r="E27" s="6" t="str">
        <x:v>C</x:v>
      </x:c>
      <x:c r="F27" s="15" t="n">
        <x:v>46281</x:v>
      </x:c>
      <x:c r="G27" s="14" t="str">
        <x:v>미착수</x:v>
      </x:c>
      <x:c r="H27" s="6" t="str">
        <x:v>팀원 포함 가능, 관찰 기록을 효과 입증으로 과장 금지</x:v>
      </x:c>
    </x:row>
    <x:row r="28" ht="43" customHeight="1">
      <x:c r="A28" s="6" t="str">
        <x:v>O15</x:v>
      </x:c>
      <x:c r="B28" s="6" t="str">
        <x:v>기획서</x:v>
      </x:c>
      <x:c r="C28" s="6" t="n">
        <x:v>1</x:v>
      </x:c>
      <x:c r="D28" s="6" t="str">
        <x:v>개</x:v>
      </x:c>
      <x:c r="E28" s="6" t="str">
        <x:v>D</x:v>
      </x:c>
      <x:c r="F28" s="15" t="n">
        <x:v>46282</x:v>
      </x:c>
      <x:c r="G28" s="14" t="str">
        <x:v>미착수</x:v>
      </x:c>
      <x:c r="H28" s="6" t="str">
        <x:v>대회 규격 우선, 임시 작업량 8~12쪽</x:v>
      </x:c>
    </x:row>
    <x:row r="29" ht="43" customHeight="1">
      <x:c r="A29" s="6" t="str">
        <x:v>O16</x:v>
      </x:c>
      <x:c r="B29" s="6" t="str">
        <x:v>시연영상</x:v>
      </x:c>
      <x:c r="C29" s="6" t="n">
        <x:v>1</x:v>
      </x:c>
      <x:c r="D29" s="6" t="str">
        <x:v>개</x:v>
      </x:c>
      <x:c r="E29" s="6" t="str">
        <x:v>D</x:v>
      </x:c>
      <x:c r="F29" s="15" t="n">
        <x:v>46282</x:v>
      </x:c>
      <x:c r="G29" s="14" t="str">
        <x:v>미착수</x:v>
      </x:c>
      <x:c r="H29" s="6" t="str">
        <x:v>대회 규격 우선, 임시 작업량 3~5분</x:v>
      </x:c>
    </x:row>
    <x:row r="30" ht="43" customHeight="1">
      <x:c r="A30" s="6" t="str">
        <x:v>O17</x:v>
      </x:c>
      <x:c r="B30" s="6" t="str">
        <x:v>제출 증빙·백업</x:v>
      </x:c>
      <x:c r="C30" s="6" t="n">
        <x:v>1</x:v>
      </x:c>
      <x:c r="D30" s="6" t="str">
        <x:v>묶음</x:v>
      </x:c>
      <x:c r="E30" s="6" t="str">
        <x:v>D</x:v>
      </x:c>
      <x:c r="F30" s="15" t="n">
        <x:v>46283</x:v>
      </x:c>
      <x:c r="G30" s="14" t="str">
        <x:v>미착수</x:v>
      </x:c>
      <x:c r="H30" s="6" t="str">
        <x:v>PDF·영상 열림 확인, 접수증 보관</x:v>
      </x:c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</x:sheetData>
  <x:dataValidations count="1">
    <x:dataValidation type="list" sqref="G14:G30">
      <x:formula1>"미착수,진행중,검토중,완료,지연,보류"</x:formula1>
    </x:dataValidation>
  </x:dataValidations>
  <x:pageMargins left="0.7" right="0.7" top="0.75" bottom="0.75" header="0.3" footer="0.3"/>
</x:worksheet>
</file>